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881a6e4544f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13397e3ec8648dd"/>
    <x:sheet xmlns:r="http://schemas.openxmlformats.org/officeDocument/2006/relationships" name="Summary" sheetId="2" r:id="Rca4a46c86f4b492d"/>
    <x:sheet xmlns:r="http://schemas.openxmlformats.org/officeDocument/2006/relationships" name="Assumptions" sheetId="3" r:id="R6ec4730c45f643f4"/>
    <x:sheet xmlns:r="http://schemas.openxmlformats.org/officeDocument/2006/relationships" name="Performance" sheetId="4" r:id="R32424b01f9fd45f9"/>
    <x:sheet xmlns:r="http://schemas.openxmlformats.org/officeDocument/2006/relationships" name="Cash Scenarios" sheetId="5" r:id="Rf8737089ebf34b60"/>
    <x:sheet xmlns:r="http://schemas.openxmlformats.org/officeDocument/2006/relationships" name="Pilot Business Case" sheetId="6" r:id="Raa54b13bfa124b97"/>
    <x:sheet xmlns:r="http://schemas.openxmlformats.org/officeDocument/2006/relationships" name="Sources &amp; Data" sheetId="7" r:id="R2617e948f452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;(#,##0.00);&quot;-&quot;"/>
    <x:numFmt numFmtId="201" formatCode="0.0%;(0.0%);&quot;-&quot;"/>
    <x:numFmt numFmtId="202" formatCode="#,##0;(#,##0);&quot;-&quot;"/>
    <x:numFmt numFmtId="203" formatCode="0.00%"/>
    <x:numFmt numFmtId="204" formatCode="0.00&quot;x&quot;"/>
    <x:numFmt numFmtId="205" formatCode="0.0;(0.0);&quot;-&quot;"/>
    <x:numFmt numFmtId="206" formatCode="0"/>
  </x:numFmts>
  <x:fonts count="18">
    <x:font>
      <x:sz val="11"/>
      <x:name val="Carlito"/>
    </x:font>
    <x:font>
      <x:sz val="11"/>
      <x:color rgb="FF182B43"/>
      <x:name val="Arial"/>
    </x:font>
    <x:font>
      <x:b/>
      <x:sz val="16"/>
      <x:color rgb="FF203952"/>
      <x:name val="Arial"/>
    </x:font>
    <x:font>
      <x:sz val="11"/>
      <x:color rgb="FF000000"/>
      <x:name val="Arial"/>
    </x:font>
    <x:font>
      <x:b/>
      <x:sz val="11"/>
      <x:color rgb="FF182B43"/>
      <x:name val="Arial"/>
    </x:font>
    <x:font>
      <x:b/>
      <x:sz val="11"/>
      <x:color rgb="FF000000"/>
      <x:name val="Arial"/>
    </x:font>
    <x:font>
      <x:sz val="11"/>
      <x:color rgb="FF1756B5"/>
      <x:name val="Arial"/>
    </x:font>
    <x:font>
      <x:sz val="11"/>
      <x:color rgb="FF445569"/>
      <x:name val="Arial"/>
    </x:font>
    <x:font>
      <x:b/>
      <x:sz val="11"/>
      <x:color rgb="FFFFFFFF"/>
      <x:name val="Arial"/>
    </x:font>
    <x:font>
      <x:sz val="10"/>
      <x:color rgb="FF1756B5"/>
      <x:name val="Arial"/>
    </x:font>
    <x:font>
      <x:sz val="10"/>
      <x:color rgb="FF182B43"/>
      <x:name val="Arial"/>
    </x:font>
    <x:font>
      <x:sz val="11"/>
      <x:color rgb="FF237345"/>
      <x:name val="Arial"/>
    </x:font>
    <x:font>
      <x:i/>
      <x:sz val="11"/>
      <x:color rgb="FF182B43"/>
      <x:name val="Arial"/>
    </x:font>
    <x:font>
      <x:i/>
      <x:sz val="11"/>
      <x:color rgb="FF237345"/>
      <x:name val="Arial"/>
    </x:font>
    <x:font>
      <x:i/>
      <x:sz val="11"/>
      <x:color rgb="FF000000"/>
      <x:name val="Arial"/>
    </x:font>
    <x:font>
      <x:b/>
      <x:i/>
      <x:sz val="11"/>
      <x:color rgb="FF182B43"/>
      <x:name val="Arial"/>
    </x:font>
    <x:font>
      <x:b/>
      <x:i/>
      <x:sz val="11"/>
      <x:color rgb="FF000000"/>
      <x:name val="Arial"/>
    </x:font>
    <x:font>
      <x:sz val="11"/>
      <x:color rgb="FF44556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8EDF3"/>
      </x:patternFill>
    </x:fill>
    <x:fill>
      <x:patternFill patternType="solid">
        <x:fgColor rgb="FFFFF0B8"/>
      </x:patternFill>
    </x:fill>
    <x:fill>
      <x:patternFill patternType="solid">
        <x:fgColor rgb="FF203952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203952"/>
      </x:bottom>
      <x:diagonal/>
    </x:border>
    <x:border>
      <x:left style="dotted">
        <x:color rgb="FF237345"/>
      </x:left>
      <x:right/>
      <x:top style="dotted">
        <x:color rgb="FF237345"/>
      </x:top>
      <x:bottom style="dotted">
        <x:color rgb="FF237345"/>
      </x:bottom>
      <x:diagonal/>
    </x:border>
    <x:border>
      <x:left/>
      <x:right/>
      <x:top style="dotted">
        <x:color rgb="FF237345"/>
      </x:top>
      <x:bottom style="dotted">
        <x:color rgb="FF237345"/>
      </x:bottom>
      <x:diagonal/>
    </x:border>
    <x:border>
      <x:left/>
      <x:right style="dotted">
        <x:color rgb="FF237345"/>
      </x:right>
      <x:top style="dotted">
        <x:color rgb="FF237345"/>
      </x:top>
      <x:bottom style="dotted">
        <x:color rgb="FF237345"/>
      </x:bottom>
      <x:diagonal/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200" fontId="8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vertical="center"/>
    </x:xf>
    <x:xf numFmtId="0" fontId="11" fillId="0" borderId="3" xfId="0" applyNumberFormat="1" applyFont="1" applyFill="1" applyBorder="1" applyAlignment="1">
      <x:alignment vertical="center"/>
    </x:xf>
    <x:xf numFmtId="0" fontId="11" fillId="0" borderId="4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horizontal="center" vertical="center"/>
    </x:xf>
    <x:xf numFmtId="0" fontId="11" fillId="0" borderId="3" xfId="0" applyNumberFormat="1" applyFont="1" applyFill="1" applyBorder="1" applyAlignment="1">
      <x:alignment horizontal="center" vertical="center"/>
    </x:xf>
    <x:xf numFmtId="0" fontId="11" fillId="0" borderId="4" xfId="0" applyNumberFormat="1" applyFont="1" applyFill="1" applyBorder="1" applyAlignment="1">
      <x:alignment horizontal="center" vertical="center"/>
    </x:xf>
    <x:xf numFmtId="200" fontId="11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4" fontId="11" fillId="0" borderId="0" xfId="0" applyNumberFormat="1" applyFont="1" applyFill="1" applyBorder="1" applyAlignment="1">
      <x:alignment vertical="center"/>
    </x:xf>
    <x:xf numFmtId="205" fontId="11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201" fontId="13" fillId="0" borderId="0" xfId="0" applyNumberFormat="1" applyFont="1" applyFill="1" applyBorder="1" applyAlignment="1">
      <x:alignment vertical="center"/>
    </x:xf>
    <x:xf numFmtId="203" fontId="14" fillId="0" borderId="0" xfId="0" applyNumberFormat="1" applyFont="1" applyFill="1" applyBorder="1" applyAlignment="1">
      <x:alignment vertical="center"/>
    </x:xf>
    <x:xf numFmtId="204" fontId="14" fillId="0" borderId="0" xfId="0" applyNumberFormat="1" applyFont="1" applyFill="1" applyBorder="1" applyAlignment="1">
      <x:alignment vertical="center"/>
    </x:xf>
    <x:xf numFmtId="205" fontId="13" fillId="0" borderId="0" xfId="0" applyNumberFormat="1" applyFont="1" applyFill="1" applyBorder="1" applyAlignment="1">
      <x:alignment vertical="center"/>
    </x:xf>
    <x:xf numFmtId="205" fontId="14" fillId="0" borderId="0" xfId="0" applyNumberFormat="1" applyFont="1" applyFill="1" applyBorder="1" applyAlignment="1">
      <x:alignment vertical="center"/>
    </x:xf>
    <x:xf numFmtId="204" fontId="13" fillId="0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/>
    </x:xf>
    <x:xf numFmtId="205" fontId="14" fillId="2" borderId="0" xfId="0" applyNumberFormat="1" applyFont="1" applyFill="1" applyBorder="1" applyAlignment="1">
      <x:alignment vertical="center"/>
    </x:xf>
    <x:xf numFmtId="0" fontId="15" fillId="2" borderId="0" xfId="0" applyNumberFormat="1" applyFont="1" applyFill="1" applyBorder="1" applyAlignment="1">
      <x:alignment vertical="center"/>
    </x:xf>
    <x:xf numFmtId="205" fontId="16" fillId="2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6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color rgb="FFA22525"/>
      </x:font>
      <x:fill>
        <x:patternFill patternType="solid">
          <x:bgColor rgb="FFFDEDEC"/>
        </x:patternFill>
      </x:fill>
    </x:dxf>
    <x:dxf>
      <x:font>
        <x:color rgb="FFA22525"/>
      </x:font>
      <x:fill>
        <x:patternFill patternType="solid">
          <x:bgColor rgb="FFFDEDEC"/>
        </x:patternFill>
      </x:fill>
    </x:dxf>
    <x:dxf>
      <x:font>
        <x:color rgb="FFA22525"/>
      </x:font>
      <x:fill>
        <x:patternFill patternType="solid">
          <x:bgColor rgb="FFFDEDEC"/>
        </x:patternFill>
      </x:fill>
    </x:dxf>
    <x:dxf>
      <x:font>
        <x:color rgb="FFA22525"/>
      </x:font>
      <x:fill>
        <x:patternFill patternType="solid">
          <x:bgColor rgb="FFFDEDEC"/>
        </x:patternFill>
      </x:fill>
    </x:dxf>
    <x:dxf>
      <x:font>
        <x:color rgb="FFA22525"/>
      </x:font>
      <x:fill>
        <x:patternFill patternType="solid">
          <x:bgColor rgb="FFFDED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bc7c1d633346d6" /><Relationship Type="http://schemas.openxmlformats.org/officeDocument/2006/relationships/theme" Target="/xl/theme/theme1.xml" Id="Rdd5dc295226f449e" /><Relationship Type="http://schemas.openxmlformats.org/officeDocument/2006/relationships/sharedStrings" Target="/xl/sharedStrings.xml" Id="R79d8f0bf4a18439e" /><Relationship Type="http://schemas.openxmlformats.org/officeDocument/2006/relationships/worksheet" Target="/xl/worksheets/sheet1.xml" Id="R613397e3ec8648dd" /><Relationship Type="http://schemas.openxmlformats.org/officeDocument/2006/relationships/worksheet" Target="/xl/worksheets/sheet2.xml" Id="Rca4a46c86f4b492d" /><Relationship Type="http://schemas.openxmlformats.org/officeDocument/2006/relationships/worksheet" Target="/xl/worksheets/sheet3.xml" Id="R6ec4730c45f643f4" /><Relationship Type="http://schemas.openxmlformats.org/officeDocument/2006/relationships/worksheet" Target="/xl/worksheets/sheet4.xml" Id="R32424b01f9fd45f9" /><Relationship Type="http://schemas.openxmlformats.org/officeDocument/2006/relationships/worksheet" Target="/xl/worksheets/sheet5.xml" Id="Rf8737089ebf34b60" /><Relationship Type="http://schemas.openxmlformats.org/officeDocument/2006/relationships/worksheet" Target="/xl/worksheets/sheet6.xml" Id="Raa54b13bfa124b97" /><Relationship Type="http://schemas.openxmlformats.org/officeDocument/2006/relationships/worksheet" Target="/xl/worksheets/sheet7.xml" Id="R2617e948f45248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dbe0d60f38146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Revenue from operations (INR crore)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203952"/>
            </a:solidFill>
          </c:spPr>
          <c:cat>
            <c:strRef>
              <c:f>'Summary'!$I$7:$I$9</c:f>
              <c:strCache>
                <c:ptCount val="0"/>
              </c:strCache>
            </c:strRef>
          </c:cat>
          <c:val>
            <c:numRef>
              <c:f>'Summary'!$J$7:$J$9</c:f>
              <c:numCache>
                <c:formatCode>#,##0.00;(#,##0.00);"-"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11</xdr:row>
      <xdr:rowOff>0</xdr:rowOff>
    </xdr:from>
    <xdr:to>
      <xdr:col>14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be0d60f381465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cb6c5b92de443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3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2"/>
      <x:c r="B2" s="2"/>
      <x:c r="C2" s="3" t="str">
        <x:v>Dixon Technologies: cash conversion case study</x:v>
      </x:c>
      <x:c r="D2" s="3"/>
      <x:c r="E2" s="3"/>
      <x:c r="F2" s="3"/>
      <x:c r="G2" s="3"/>
      <x:c r="H2" s="3"/>
      <x:c r="I2" s="3"/>
      <x:c r="J2" s="3"/>
      <x:c r="K2" s="3"/>
      <x:c r="L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8" customHeight="1">
      <x:c r="A5" s="2"/>
      <x:c r="B5" s="2"/>
      <x:c r="C5" s="17" t="str">
        <x:v>Hisham Siddiqui | Independent public-data case study | Consolidated FY2024-FY2026</x:v>
      </x:c>
      <x:c r="D5" s="17"/>
      <x:c r="E5" s="18"/>
      <x:c r="F5" s="18"/>
      <x:c r="G5" s="18"/>
      <x:c r="H5" s="17"/>
      <x:c r="I5" s="17"/>
      <x:c r="J5" s="17"/>
      <x:c r="K5" s="17"/>
      <x:c r="L5" s="2"/>
    </x:row>
    <x:row r="6" ht="23" customHeight="1">
      <x:c r="A6" s="2"/>
      <x:c r="B6" s="2"/>
      <x:c r="C6" s="2"/>
      <x:c r="D6" s="2"/>
      <x:c r="E6" s="5"/>
      <x:c r="F6" s="5"/>
      <x:c r="G6" s="5"/>
      <x:c r="H6" s="2"/>
      <x:c r="I6" s="2"/>
      <x:c r="J6" s="2"/>
      <x:c r="K6" s="2"/>
      <x:c r="L6" s="2"/>
    </x:row>
    <x:row r="7" ht="23" customHeight="1">
      <x:c r="A7" s="2"/>
      <x:c r="B7" s="2"/>
      <x:c r="C7" s="2"/>
      <x:c r="D7" s="2"/>
      <x:c r="E7" s="5"/>
      <x:c r="F7" s="5"/>
      <x:c r="G7" s="5"/>
      <x:c r="H7" s="2"/>
      <x:c r="I7" s="2"/>
      <x:c r="J7" s="2"/>
      <x:c r="K7" s="2"/>
      <x:c r="L7" s="2"/>
    </x:row>
    <x:row r="8" ht="26" customHeight="1">
      <x:c r="A8" s="2"/>
      <x:c r="B8" s="2"/>
      <x:c r="C8" s="9" t="str">
        <x:v>1. Read Summary</x:v>
      </x:c>
      <x:c r="D8" s="9"/>
      <x:c r="E8" s="10"/>
      <x:c r="F8" s="10"/>
      <x:c r="G8" s="10"/>
      <x:c r="H8" s="9"/>
      <x:c r="I8" s="9"/>
      <x:c r="J8" s="9"/>
      <x:c r="K8" s="9"/>
      <x:c r="L8" s="2"/>
    </x:row>
    <x:row r="9" ht="38" customHeight="1">
      <x:c r="A9" s="2"/>
      <x:c r="B9" s="2"/>
      <x:c r="C9" s="17" t="str">
        <x:v>Start with the findings and the conditional recommendation.</x:v>
      </x:c>
      <x:c r="D9" s="17"/>
      <x:c r="E9" s="18"/>
      <x:c r="F9" s="18"/>
      <x:c r="G9" s="18"/>
      <x:c r="H9" s="17"/>
      <x:c r="I9" s="17"/>
      <x:c r="J9" s="17"/>
      <x:c r="K9" s="17"/>
      <x:c r="L9" s="2"/>
    </x:row>
    <x:row r="10" ht="23" customHeight="1">
      <x:c r="A10" s="2"/>
      <x:c r="B10" s="2"/>
      <x:c r="C10" s="2"/>
      <x:c r="D10" s="2"/>
      <x:c r="E10" s="5"/>
      <x:c r="F10" s="5"/>
      <x:c r="G10" s="5"/>
      <x:c r="H10" s="2"/>
      <x:c r="I10" s="2"/>
      <x:c r="J10" s="2"/>
      <x:c r="K10" s="2"/>
      <x:c r="L10" s="2"/>
    </x:row>
    <x:row r="11" ht="23" customHeight="1">
      <x:c r="A11" s="2"/>
      <x:c r="B11" s="2"/>
      <x:c r="C11" s="2"/>
      <x:c r="D11" s="2"/>
      <x:c r="E11" s="5"/>
      <x:c r="F11" s="5"/>
      <x:c r="G11" s="5"/>
      <x:c r="H11" s="2"/>
      <x:c r="I11" s="2"/>
      <x:c r="J11" s="2"/>
      <x:c r="K11" s="2"/>
      <x:c r="L11" s="2"/>
    </x:row>
    <x:row r="12" ht="26" customHeight="1">
      <x:c r="A12" s="2"/>
      <x:c r="B12" s="2"/>
      <x:c r="C12" s="9" t="str">
        <x:v>2. Change Assumptions!E5</x:v>
      </x:c>
      <x:c r="D12" s="9"/>
      <x:c r="E12" s="10"/>
      <x:c r="F12" s="10"/>
      <x:c r="G12" s="10"/>
      <x:c r="H12" s="9"/>
      <x:c r="I12" s="9"/>
      <x:c r="J12" s="9"/>
      <x:c r="K12" s="9"/>
      <x:c r="L12" s="2"/>
    </x:row>
    <x:row r="13" ht="38" customHeight="1">
      <x:c r="A13" s="2"/>
      <x:c r="B13" s="2"/>
      <x:c r="C13" s="17" t="str">
        <x:v>1 = no change, 2 = collections delay, 3 = inventory buffer, 4 = earlier supplier payment.</x:v>
      </x:c>
      <x:c r="D13" s="17"/>
      <x:c r="E13" s="18"/>
      <x:c r="F13" s="18"/>
      <x:c r="G13" s="18"/>
      <x:c r="H13" s="17"/>
      <x:c r="I13" s="17"/>
      <x:c r="J13" s="17"/>
      <x:c r="K13" s="17"/>
      <x:c r="L13" s="2"/>
    </x:row>
    <x:row r="14" ht="23" customHeight="1">
      <x:c r="A14" s="2"/>
      <x:c r="B14" s="2"/>
      <x:c r="C14" s="2"/>
      <x:c r="D14" s="2"/>
      <x:c r="E14" s="5"/>
      <x:c r="F14" s="5"/>
      <x:c r="G14" s="5"/>
      <x:c r="H14" s="2"/>
      <x:c r="I14" s="2"/>
      <x:c r="J14" s="2"/>
      <x:c r="K14" s="2"/>
      <x:c r="L14" s="2"/>
    </x:row>
    <x:row r="15" ht="23" customHeight="1">
      <x:c r="A15" s="2"/>
      <x:c r="B15" s="2"/>
      <x:c r="C15" s="2"/>
      <x:c r="D15" s="2"/>
      <x:c r="E15" s="5"/>
      <x:c r="F15" s="5"/>
      <x:c r="G15" s="5"/>
      <x:c r="H15" s="2"/>
      <x:c r="I15" s="2"/>
      <x:c r="J15" s="2"/>
      <x:c r="K15" s="2"/>
      <x:c r="L15" s="2"/>
    </x:row>
    <x:row r="16" ht="26" customHeight="1">
      <x:c r="A16" s="2"/>
      <x:c r="B16" s="2"/>
      <x:c r="C16" s="9" t="str">
        <x:v>3. Inspect Cash Scenarios</x:v>
      </x:c>
      <x:c r="D16" s="9"/>
      <x:c r="E16" s="10"/>
      <x:c r="F16" s="10"/>
      <x:c r="G16" s="10"/>
      <x:c r="H16" s="9"/>
      <x:c r="I16" s="9"/>
      <x:c r="J16" s="9"/>
      <x:c r="K16" s="9"/>
      <x:c r="L16" s="2"/>
    </x:row>
    <x:row r="17" ht="38" customHeight="1">
      <x:c r="A17" s="2"/>
      <x:c r="B17" s="2"/>
      <x:c r="C17" s="17" t="str">
        <x:v>The same model recalculates for the selected case. Test one case at a time.</x:v>
      </x:c>
      <x:c r="D17" s="17"/>
      <x:c r="E17" s="18"/>
      <x:c r="F17" s="18"/>
      <x:c r="G17" s="18"/>
      <x:c r="H17" s="17"/>
      <x:c r="I17" s="17"/>
      <x:c r="J17" s="17"/>
      <x:c r="K17" s="17"/>
      <x:c r="L17" s="2"/>
    </x:row>
    <x:row r="18" ht="23" customHeight="1">
      <x:c r="A18" s="2"/>
      <x:c r="B18" s="2"/>
      <x:c r="C18" s="2"/>
      <x:c r="D18" s="2"/>
      <x:c r="E18" s="5"/>
      <x:c r="F18" s="5"/>
      <x:c r="G18" s="5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5"/>
      <x:c r="F19" s="5"/>
      <x:c r="G19" s="5"/>
      <x:c r="H19" s="2"/>
      <x:c r="I19" s="2"/>
      <x:c r="J19" s="2"/>
      <x:c r="K19" s="2"/>
      <x:c r="L19" s="2"/>
    </x:row>
    <x:row r="20" ht="26" customHeight="1">
      <x:c r="A20" s="2"/>
      <x:c r="B20" s="2"/>
      <x:c r="C20" s="9" t="str">
        <x:v>4. Test the collections pilot</x:v>
      </x:c>
      <x:c r="D20" s="9"/>
      <x:c r="E20" s="10"/>
      <x:c r="F20" s="10"/>
      <x:c r="G20" s="10"/>
      <x:c r="H20" s="9"/>
      <x:c r="I20" s="9"/>
      <x:c r="J20" s="9"/>
      <x:c r="K20" s="9"/>
      <x:c r="L20" s="2"/>
    </x:row>
    <x:row r="21" ht="38" customHeight="1">
      <x:c r="A21" s="2"/>
      <x:c r="B21" s="2"/>
      <x:c r="C21" s="17" t="str">
        <x:v>Edit the yellow inputs in Assumptions!E33:E39. Set E35 to 0% to test no financing savings.</x:v>
      </x:c>
      <x:c r="D21" s="17"/>
      <x:c r="E21" s="18"/>
      <x:c r="F21" s="18"/>
      <x:c r="G21" s="18"/>
      <x:c r="H21" s="17"/>
      <x:c r="I21" s="17"/>
      <x:c r="J21" s="17"/>
      <x:c r="K21" s="17"/>
      <x:c r="L21" s="2"/>
    </x:row>
    <x:row r="22" ht="23" customHeight="1">
      <x:c r="A22" s="2"/>
      <x:c r="B22" s="2"/>
      <x:c r="C22" s="2"/>
      <x:c r="D22" s="2"/>
      <x:c r="E22" s="5"/>
      <x:c r="F22" s="5"/>
      <x:c r="G22" s="5"/>
      <x:c r="H22" s="2"/>
      <x:c r="I22" s="2"/>
      <x:c r="J22" s="2"/>
      <x:c r="K22" s="2"/>
      <x:c r="L22" s="2"/>
    </x:row>
    <x:row r="23" ht="23" customHeight="1">
      <x:c r="A23" s="2"/>
      <x:c r="B23" s="2"/>
      <x:c r="C23" s="2"/>
      <x:c r="D23" s="2"/>
      <x:c r="E23" s="5"/>
      <x:c r="F23" s="5"/>
      <x:c r="G23" s="5"/>
      <x:c r="H23" s="2"/>
      <x:c r="I23" s="2"/>
      <x:c r="J23" s="2"/>
      <x:c r="K23" s="2"/>
      <x:c r="L23" s="2"/>
    </x:row>
    <x:row r="24" ht="26" customHeight="1">
      <x:c r="A24" s="2"/>
      <x:c r="B24" s="2"/>
      <x:c r="C24" s="9" t="str">
        <x:v>5. Trace the evidence</x:v>
      </x:c>
      <x:c r="D24" s="9"/>
      <x:c r="E24" s="10"/>
      <x:c r="F24" s="10"/>
      <x:c r="G24" s="10"/>
      <x:c r="H24" s="9"/>
      <x:c r="I24" s="9"/>
      <x:c r="J24" s="9"/>
      <x:c r="K24" s="9"/>
      <x:c r="L24" s="2"/>
    </x:row>
    <x:row r="25" ht="38" customHeight="1">
      <x:c r="A25" s="2"/>
      <x:c r="B25" s="2"/>
      <x:c r="C25" s="17" t="str">
        <x:v>Performance contains formulas. Sources &amp; Data preserves report values and exact source pages.</x:v>
      </x:c>
      <x:c r="D25" s="17"/>
      <x:c r="E25" s="18"/>
      <x:c r="F25" s="18"/>
      <x:c r="G25" s="18"/>
      <x:c r="H25" s="17"/>
      <x:c r="I25" s="17"/>
      <x:c r="J25" s="17"/>
      <x:c r="K25" s="17"/>
      <x:c r="L25" s="2"/>
    </x:row>
    <x:row r="26" ht="23" customHeight="1">
      <x:c r="A26" s="2"/>
      <x:c r="B26" s="2"/>
      <x:c r="C26" s="2"/>
      <x:c r="D26" s="2"/>
      <x:c r="E26" s="5"/>
      <x:c r="F26" s="5"/>
      <x:c r="G26" s="5"/>
      <x:c r="H26" s="2"/>
      <x:c r="I26" s="2"/>
      <x:c r="J26" s="2"/>
      <x:c r="K26" s="2"/>
      <x:c r="L26" s="2"/>
    </x:row>
    <x:row r="27" ht="23" customHeight="1">
      <x:c r="A27" s="2"/>
      <x:c r="B27" s="2"/>
      <x:c r="C27" s="2"/>
      <x:c r="D27" s="2"/>
      <x:c r="E27" s="5"/>
      <x:c r="F27" s="5"/>
      <x:c r="G27" s="5"/>
      <x:c r="H27" s="2"/>
      <x:c r="I27" s="2"/>
      <x:c r="J27" s="2"/>
      <x:c r="K27" s="2"/>
      <x:c r="L27" s="2"/>
    </x:row>
    <x:row r="28" ht="26" customHeight="1">
      <x:c r="A28" s="2"/>
      <x:c r="B28" s="2"/>
      <x:c r="C28" s="9" t="str">
        <x:v>6. Read the documentation</x:v>
      </x:c>
      <x:c r="D28" s="9"/>
      <x:c r="E28" s="10"/>
      <x:c r="F28" s="10"/>
      <x:c r="G28" s="10"/>
      <x:c r="H28" s="9"/>
      <x:c r="I28" s="9"/>
      <x:c r="J28" s="9"/>
      <x:c r="K28" s="9"/>
      <x:c r="L28" s="2"/>
    </x:row>
    <x:row r="29" ht="38" customHeight="1">
      <x:c r="A29" s="2"/>
      <x:c r="B29" s="2"/>
      <x:c r="C29" s="17" t="str">
        <x:v>README.md explains the findings. docs/LEARNING_GUIDE.md explains formulas and interview questions.</x:v>
      </x:c>
      <x:c r="D29" s="17"/>
      <x:c r="E29" s="18"/>
      <x:c r="F29" s="18"/>
      <x:c r="G29" s="18"/>
      <x:c r="H29" s="17"/>
      <x:c r="I29" s="17"/>
      <x:c r="J29" s="17"/>
      <x:c r="K29" s="17"/>
      <x:c r="L29" s="2"/>
    </x:row>
    <x:row r="30" ht="23" customHeight="1">
      <x:c r="A30" s="2"/>
      <x:c r="B30" s="2"/>
      <x:c r="C30" s="2"/>
      <x:c r="D30" s="2"/>
      <x:c r="E30" s="5"/>
      <x:c r="F30" s="5"/>
      <x:c r="G30" s="5"/>
      <x:c r="H30" s="2"/>
      <x:c r="I30" s="2"/>
      <x:c r="J30" s="2"/>
      <x:c r="K30" s="2"/>
      <x:c r="L30" s="2"/>
    </x:row>
    <x:row r="31" ht="23" customHeight="1">
      <x:c r="A31" s="2"/>
      <x:c r="B31" s="2"/>
      <x:c r="C31" s="2"/>
      <x:c r="D31" s="2"/>
      <x:c r="E31" s="5"/>
      <x:c r="F31" s="5"/>
      <x:c r="G31" s="5"/>
      <x:c r="H31" s="2"/>
      <x:c r="I31" s="2"/>
      <x:c r="J31" s="2"/>
      <x:c r="K31" s="2"/>
      <x:c r="L31" s="2"/>
    </x:row>
    <x:row r="32" ht="23" customHeight="1">
      <x:c r="A32" s="2"/>
      <x:c r="B32" s="2"/>
      <x:c r="C32" s="2"/>
      <x:c r="D32" s="2"/>
      <x:c r="E32" s="5"/>
      <x:c r="F32" s="5"/>
      <x:c r="G32" s="5"/>
      <x:c r="H32" s="2"/>
      <x:c r="I32" s="2"/>
      <x:c r="J32" s="2"/>
      <x:c r="K32" s="2"/>
      <x:c r="L32" s="2"/>
    </x:row>
    <x:row r="33" ht="38" customHeight="1">
      <x:c r="A33" s="2"/>
      <x:c r="B33" s="2"/>
      <x:c r="C33" s="17" t="str">
        <x:v>Yellow = editable assumptions. Blue = numeric inputs. Green = links to another sheet. Black = calculations. Summary results use dark text.</x:v>
      </x:c>
      <x:c r="D33" s="17"/>
      <x:c r="E33" s="18"/>
      <x:c r="F33" s="18"/>
      <x:c r="G33" s="18"/>
      <x:c r="H33" s="17"/>
      <x:c r="I33" s="17"/>
      <x:c r="J33" s="17"/>
      <x:c r="K33" s="17"/>
      <x:c r="L33" s="2"/>
    </x:row>
    <x:row r="34" ht="23" customHeight="1">
      <x:c r="A34" s="2"/>
      <x:c r="B34" s="2"/>
      <x:c r="C34" s="2"/>
      <x:c r="D34" s="2"/>
      <x:c r="E34" s="5"/>
      <x:c r="F34" s="5"/>
      <x:c r="G34" s="5"/>
      <x:c r="H34" s="2"/>
      <x:c r="I34" s="2"/>
      <x:c r="J34" s="2"/>
      <x:c r="K34" s="2"/>
      <x:c r="L34" s="2"/>
    </x:row>
    <x:row r="35" ht="23" customHeight="1">
      <x:c r="A35" s="2"/>
      <x:c r="B35" s="2"/>
      <x:c r="C35" s="2"/>
      <x:c r="D35" s="2"/>
      <x:c r="E35" s="5"/>
      <x:c r="F35" s="5"/>
      <x:c r="G35" s="5"/>
      <x:c r="H35" s="2"/>
      <x:c r="I35" s="2"/>
      <x:c r="J35" s="2"/>
      <x:c r="K35" s="2"/>
      <x:c r="L35" s="2"/>
    </x:row>
    <x:row r="36" ht="38" customHeight="1">
      <x:c r="A36" s="2"/>
      <x:c r="B36" s="2"/>
      <x:c r="C36" s="17" t="str">
        <x:v>Model values are INR crore unless labelled otherwise. Original source values are INR lakh. 100 lakh = 1 crore.</x:v>
      </x:c>
      <x:c r="D36" s="17"/>
      <x:c r="E36" s="18"/>
      <x:c r="F36" s="18"/>
      <x:c r="G36" s="18"/>
      <x:c r="H36" s="17"/>
      <x:c r="I36" s="17"/>
      <x:c r="J36" s="17"/>
      <x:c r="K36" s="17"/>
      <x:c r="L36" s="2"/>
    </x:row>
    <x:row r="37" ht="23" customHeight="1">
      <x:c r="A37" s="2"/>
      <x:c r="B37" s="2"/>
      <x:c r="C37" s="2"/>
      <x:c r="D37" s="2"/>
      <x:c r="E37" s="5"/>
      <x:c r="F37" s="5"/>
      <x:c r="G37" s="5"/>
      <x:c r="H37" s="2"/>
      <x:c r="I37" s="2"/>
      <x:c r="J37" s="2"/>
      <x:c r="K37" s="2"/>
      <x:c r="L37" s="2"/>
    </x:row>
    <x:row r="38" ht="23" customHeight="1">
      <x:c r="A38" s="2"/>
      <x:c r="B38" s="2"/>
      <x:c r="C38" s="2"/>
      <x:c r="D38" s="2"/>
      <x:c r="E38" s="5"/>
      <x:c r="F38" s="5"/>
      <x:c r="G38" s="5"/>
      <x:c r="H38" s="2"/>
      <x:c r="I38" s="2"/>
      <x:c r="J38" s="2"/>
      <x:c r="K38" s="2"/>
      <x:c r="L38" s="2"/>
    </x:row>
    <x:row r="39" ht="38" customHeight="1">
      <x:c r="A39" s="2"/>
      <x:c r="B39" s="2"/>
      <x:c r="C39" s="17" t="str">
        <x:v>Reported financials are factual inputs. Scenarios, pilot targets and costs are illustrative assumptions. This project reports a proposal, not company implementation results.</x:v>
      </x:c>
      <x:c r="D39" s="17"/>
      <x:c r="E39" s="18"/>
      <x:c r="F39" s="18"/>
      <x:c r="G39" s="18"/>
      <x:c r="H39" s="17"/>
      <x:c r="I39" s="17"/>
      <x:c r="J39" s="17"/>
      <x:c r="K39" s="17"/>
      <x:c r="L39" s="2"/>
    </x:row>
    <x:row r="40" ht="23" customHeight="1">
      <x:c r="A40" s="2"/>
      <x:c r="B40" s="2"/>
      <x:c r="C40" s="2"/>
      <x:c r="D40" s="2"/>
      <x:c r="E40" s="5"/>
      <x:c r="F40" s="5"/>
      <x:c r="G40" s="5"/>
      <x:c r="H40" s="2"/>
      <x:c r="I40" s="2"/>
      <x:c r="J40" s="2"/>
      <x:c r="K40" s="2"/>
      <x:c r="L40" s="2"/>
    </x:row>
    <x:row r="41" ht="23" customHeight="1">
      <x:c r="A41" s="2"/>
      <x:c r="B41" s="2"/>
      <x:c r="C41" s="2"/>
      <x:c r="D41" s="2"/>
      <x:c r="E41" s="5"/>
      <x:c r="F41" s="5"/>
      <x:c r="G41" s="5"/>
      <x:c r="H41" s="2"/>
      <x:c r="I41" s="2"/>
      <x:c r="J41" s="2"/>
      <x:c r="K41" s="2"/>
      <x:c r="L41" s="2"/>
    </x:row>
    <x:row r="42" ht="38" customHeight="1">
      <x:c r="A42" s="2"/>
      <x:c r="B42" s="2"/>
      <x:c r="C42" s="17" t="str">
        <x:v>If values do not update in Excel: Formulas &gt; Calculation Options &gt; Automatic, then press Ctrl+Alt+F9.</x:v>
      </x:c>
      <x:c r="D42" s="17"/>
      <x:c r="E42" s="18"/>
      <x:c r="F42" s="18"/>
      <x:c r="G42" s="18"/>
      <x:c r="H42" s="17"/>
      <x:c r="I42" s="17"/>
      <x:c r="J42" s="17"/>
      <x:c r="K42" s="17"/>
      <x:c r="L42" s="2"/>
    </x:row>
    <x:row r="43" ht="23" customHeight="1">
      <x:c r="A43" s="2"/>
      <x:c r="B43" s="2"/>
      <x:c r="C43" s="2"/>
      <x:c r="D43" s="2"/>
      <x:c r="E43" s="5"/>
      <x:c r="F43" s="5"/>
      <x:c r="G43" s="5"/>
      <x:c r="H43" s="2"/>
      <x:c r="I43" s="2"/>
      <x:c r="J43" s="2"/>
      <x:c r="K43" s="2"/>
      <x:c r="L43" s="2"/>
    </x:row>
    <x:row r="44" ht="23" customHeight="1">
      <x:c r="A44" s="2"/>
      <x:c r="B44" s="2"/>
      <x:c r="C44" s="2"/>
      <x:c r="D44" s="2"/>
      <x:c r="E44" s="5"/>
      <x:c r="F44" s="5"/>
      <x:c r="G44" s="5"/>
      <x:c r="H44" s="2"/>
      <x:c r="I44" s="2"/>
      <x:c r="J44" s="2"/>
      <x:c r="K44" s="2"/>
      <x:c r="L44" s="2"/>
    </x:row>
    <x:row r="45" ht="23" customHeight="1">
      <x:c r="A45" s="2"/>
      <x:c r="B45" s="2"/>
      <x:c r="C45" s="2"/>
      <x:c r="D45" s="2"/>
      <x:c r="E45" s="5"/>
      <x:c r="F45" s="5"/>
      <x:c r="G45" s="5"/>
      <x:c r="H45" s="2"/>
      <x:c r="I45" s="2"/>
      <x:c r="J45" s="2"/>
      <x:c r="K45" s="2"/>
      <x:c r="L45" s="2"/>
    </x:row>
    <x:row r="46" ht="23" customHeight="1">
      <x:c r="A46" s="2"/>
      <x:c r="B46" s="2"/>
      <x:c r="C46" s="2"/>
      <x:c r="D46" s="2"/>
      <x:c r="E46" s="5"/>
      <x:c r="F46" s="5"/>
      <x:c r="G46" s="5"/>
      <x:c r="H46" s="2"/>
      <x:c r="I46" s="2"/>
      <x:c r="J46" s="2"/>
      <x:c r="K46" s="2"/>
      <x:c r="L46" s="2"/>
    </x:row>
    <x:row r="47" ht="23" customHeight="1">
      <x:c r="A47" s="2"/>
      <x:c r="B47" s="2"/>
      <x:c r="C47" s="2"/>
      <x:c r="D47" s="2"/>
      <x:c r="E47" s="5"/>
      <x:c r="F47" s="5"/>
      <x:c r="G47" s="5"/>
      <x:c r="H47" s="2"/>
      <x:c r="I47" s="2"/>
      <x:c r="J47" s="2"/>
      <x:c r="K47" s="2"/>
      <x:c r="L47" s="2"/>
    </x:row>
    <x:row r="48" ht="23" customHeight="1">
      <x:c r="A48" s="2"/>
      <x:c r="B48" s="2"/>
      <x:c r="C48" s="2"/>
      <x:c r="D48" s="2"/>
      <x:c r="E48" s="5"/>
      <x:c r="F48" s="5"/>
      <x:c r="G48" s="5"/>
      <x:c r="H48" s="2"/>
      <x:c r="I48" s="2"/>
      <x:c r="J48" s="2"/>
      <x:c r="K48" s="2"/>
      <x:c r="L48" s="2"/>
    </x:row>
    <x:row r="49" ht="23" customHeight="1">
      <x:c r="A49" s="2"/>
      <x:c r="B49" s="2"/>
      <x:c r="C49" s="2"/>
      <x:c r="D49" s="2"/>
      <x:c r="E49" s="5"/>
      <x:c r="F49" s="5"/>
      <x:c r="G49" s="5"/>
      <x:c r="H49" s="2"/>
      <x:c r="I49" s="2"/>
      <x:c r="J49" s="2"/>
      <x:c r="K49" s="2"/>
      <x:c r="L49" s="2"/>
    </x:row>
    <x:row r="50" ht="23" customHeight="1">
      <x:c r="A50" s="2"/>
      <x:c r="B50" s="2"/>
      <x:c r="C50" s="2"/>
      <x:c r="D50" s="2"/>
      <x:c r="E50" s="5"/>
      <x:c r="F50" s="5"/>
      <x:c r="G50" s="5"/>
      <x:c r="H50" s="2"/>
      <x:c r="I50" s="2"/>
      <x:c r="J50" s="2"/>
      <x:c r="K50" s="2"/>
      <x:c r="L50" s="2"/>
    </x:row>
    <x:row r="51" ht="23" customHeight="1">
      <x:c r="A51" s="2"/>
      <x:c r="B51" s="2"/>
      <x:c r="C51" s="2"/>
      <x:c r="D51" s="2"/>
      <x:c r="E51" s="5"/>
      <x:c r="F51" s="5"/>
      <x:c r="G51" s="5"/>
      <x:c r="H51" s="2"/>
      <x:c r="I51" s="2"/>
      <x:c r="J51" s="2"/>
      <x:c r="K51" s="2"/>
      <x:c r="L51" s="2"/>
    </x:row>
    <x:row r="52" ht="23" customHeight="1">
      <x:c r="A52" s="2"/>
      <x:c r="B52" s="2"/>
      <x:c r="C52" s="2"/>
      <x:c r="D52" s="2"/>
      <x:c r="E52" s="5"/>
      <x:c r="F52" s="5"/>
      <x:c r="G52" s="5"/>
      <x:c r="H52" s="2"/>
      <x:c r="I52" s="2"/>
      <x:c r="J52" s="2"/>
      <x:c r="K52" s="2"/>
      <x:c r="L52" s="2"/>
    </x:row>
    <x:row r="53" ht="23" customHeight="1">
      <x:c r="A53" s="2"/>
      <x:c r="B53" s="2"/>
      <x:c r="C53" s="2"/>
      <x:c r="D53" s="2"/>
      <x:c r="E53" s="5"/>
      <x:c r="F53" s="5"/>
      <x:c r="G53" s="5"/>
      <x:c r="H53" s="2"/>
      <x:c r="I53" s="2"/>
      <x:c r="J53" s="2"/>
      <x:c r="K53" s="2"/>
      <x:c r="L53" s="2"/>
    </x:row>
    <x:row r="54" ht="23" customHeight="1">
      <x:c r="A54" s="2"/>
      <x:c r="B54" s="2"/>
      <x:c r="C54" s="2"/>
      <x:c r="D54" s="2"/>
      <x:c r="E54" s="5"/>
      <x:c r="F54" s="5"/>
      <x:c r="G54" s="5"/>
      <x:c r="H54" s="2"/>
      <x:c r="I54" s="2"/>
      <x:c r="J54" s="2"/>
      <x:c r="K54" s="2"/>
      <x:c r="L54" s="2"/>
    </x:row>
    <x:row r="55" ht="23" customHeight="1">
      <x:c r="A55" s="2"/>
      <x:c r="B55" s="2"/>
      <x:c r="C55" s="2"/>
      <x:c r="D55" s="2"/>
      <x:c r="E55" s="5"/>
      <x:c r="F55" s="5"/>
      <x:c r="G55" s="5"/>
      <x:c r="H55" s="2"/>
      <x:c r="I55" s="2"/>
      <x:c r="J55" s="2"/>
      <x:c r="K55" s="2"/>
      <x:c r="L55" s="2"/>
    </x:row>
    <x:row r="56" ht="23" customHeight="1">
      <x:c r="A56" s="2"/>
      <x:c r="B56" s="2"/>
      <x:c r="C56" s="2"/>
      <x:c r="D56" s="2"/>
      <x:c r="E56" s="5"/>
      <x:c r="F56" s="5"/>
      <x:c r="G56" s="5"/>
      <x:c r="H56" s="2"/>
      <x:c r="I56" s="2"/>
      <x:c r="J56" s="2"/>
      <x:c r="K56" s="2"/>
      <x:c r="L56" s="2"/>
    </x:row>
    <x:row r="57" ht="23" customHeight="1">
      <x:c r="A57" s="2"/>
      <x:c r="B57" s="2"/>
      <x:c r="C57" s="2"/>
      <x:c r="D57" s="2"/>
      <x:c r="E57" s="5"/>
      <x:c r="F57" s="5"/>
      <x:c r="G57" s="5"/>
      <x:c r="H57" s="2"/>
      <x:c r="I57" s="2"/>
      <x:c r="J57" s="2"/>
      <x:c r="K57" s="2"/>
      <x:c r="L57" s="2"/>
    </x:row>
    <x:row r="58" ht="23" customHeight="1">
      <x:c r="A58" s="2"/>
      <x:c r="B58" s="2"/>
      <x:c r="C58" s="2"/>
      <x:c r="D58" s="2"/>
      <x:c r="E58" s="5"/>
      <x:c r="F58" s="5"/>
      <x:c r="G58" s="5"/>
      <x:c r="H58" s="2"/>
      <x:c r="I58" s="2"/>
      <x:c r="J58" s="2"/>
      <x:c r="K58" s="2"/>
      <x:c r="L58" s="2"/>
    </x:row>
    <x:row r="59" ht="23" customHeight="1">
      <x:c r="A59" s="2"/>
      <x:c r="B59" s="2"/>
      <x:c r="C59" s="2"/>
      <x:c r="D59" s="2"/>
      <x:c r="E59" s="5"/>
      <x:c r="F59" s="5"/>
      <x:c r="G59" s="5"/>
      <x:c r="H59" s="2"/>
      <x:c r="I59" s="2"/>
      <x:c r="J59" s="2"/>
      <x:c r="K59" s="2"/>
      <x:c r="L59" s="2"/>
    </x:row>
    <x:row r="60" ht="23" customHeight="1">
      <x:c r="A60" s="2"/>
      <x:c r="B60" s="2"/>
      <x:c r="C60" s="2"/>
      <x:c r="D60" s="2"/>
      <x:c r="E60" s="5"/>
      <x:c r="F60" s="5"/>
      <x:c r="G60" s="5"/>
      <x:c r="H60" s="2"/>
      <x:c r="I60" s="2"/>
      <x:c r="J60" s="2"/>
      <x:c r="K60" s="2"/>
      <x:c r="L60" s="2"/>
    </x:row>
    <x:row r="61" ht="23" customHeight="1">
      <x:c r="A61" s="2"/>
      <x:c r="B61" s="2"/>
      <x:c r="C61" s="2"/>
      <x:c r="D61" s="2"/>
      <x:c r="E61" s="5"/>
      <x:c r="F61" s="5"/>
      <x:c r="G61" s="5"/>
      <x:c r="H61" s="2"/>
      <x:c r="I61" s="2"/>
      <x:c r="J61" s="2"/>
      <x:c r="K61" s="2"/>
      <x:c r="L61" s="2"/>
    </x:row>
    <x:row r="62" ht="23" customHeight="1">
      <x:c r="A62" s="2"/>
      <x:c r="B62" s="2"/>
      <x:c r="C62" s="2"/>
      <x:c r="D62" s="2"/>
      <x:c r="E62" s="5"/>
      <x:c r="F62" s="5"/>
      <x:c r="G62" s="5"/>
      <x:c r="H62" s="2"/>
      <x:c r="I62" s="2"/>
      <x:c r="J62" s="2"/>
      <x:c r="K62" s="2"/>
      <x:c r="L62" s="2"/>
    </x:row>
    <x:row r="63" ht="23" customHeight="1">
      <x:c r="A63" s="2"/>
      <x:c r="B63" s="2"/>
      <x:c r="C63" s="2"/>
      <x:c r="D63" s="2"/>
      <x:c r="E63" s="5"/>
      <x:c r="F63" s="5"/>
      <x:c r="G63" s="5"/>
      <x:c r="H63" s="2"/>
      <x:c r="I63" s="2"/>
      <x:c r="J63" s="2"/>
      <x:c r="K63" s="2"/>
      <x:c r="L63" s="2"/>
    </x:row>
    <x:row r="64" ht="23" customHeight="1">
      <x:c r="A64" s="2"/>
      <x:c r="B64" s="2"/>
      <x:c r="C64" s="2"/>
      <x:c r="D64" s="2"/>
      <x:c r="E64" s="5"/>
      <x:c r="F64" s="5"/>
      <x:c r="G64" s="5"/>
      <x:c r="H64" s="2"/>
      <x:c r="I64" s="2"/>
      <x:c r="J64" s="2"/>
      <x:c r="K64" s="2"/>
      <x:c r="L64" s="2"/>
    </x:row>
    <x:row r="65" ht="23" customHeight="1">
      <x:c r="A65" s="2"/>
      <x:c r="B65" s="2"/>
      <x:c r="C65" s="2"/>
      <x:c r="D65" s="2"/>
      <x:c r="E65" s="5"/>
      <x:c r="F65" s="5"/>
      <x:c r="G65" s="5"/>
      <x:c r="H65" s="2"/>
      <x:c r="I65" s="2"/>
      <x:c r="J65" s="2"/>
      <x:c r="K65" s="2"/>
      <x:c r="L65" s="2"/>
    </x:row>
    <x:row r="66" ht="23" customHeight="1">
      <x:c r="A66" s="2"/>
      <x:c r="B66" s="2"/>
      <x:c r="C66" s="2"/>
      <x:c r="D66" s="2"/>
      <x:c r="E66" s="5"/>
      <x:c r="F66" s="5"/>
      <x:c r="G66" s="5"/>
      <x:c r="H66" s="2"/>
      <x:c r="I66" s="2"/>
      <x:c r="J66" s="2"/>
      <x:c r="K66" s="2"/>
      <x:c r="L66" s="2"/>
    </x:row>
    <x:row r="67" ht="23" customHeight="1">
      <x:c r="A67" s="2"/>
      <x:c r="B67" s="2"/>
      <x:c r="C67" s="2"/>
      <x:c r="D67" s="2"/>
      <x:c r="E67" s="5"/>
      <x:c r="F67" s="5"/>
      <x:c r="G67" s="5"/>
      <x:c r="H67" s="2"/>
      <x:c r="I67" s="2"/>
      <x:c r="J67" s="2"/>
      <x:c r="K67" s="2"/>
      <x:c r="L67" s="2"/>
    </x:row>
    <x:row r="68" ht="23" customHeight="1">
      <x:c r="A68" s="2"/>
      <x:c r="B68" s="2"/>
      <x:c r="C68" s="2"/>
      <x:c r="D68" s="2"/>
      <x:c r="E68" s="5"/>
      <x:c r="F68" s="5"/>
      <x:c r="G68" s="5"/>
      <x:c r="H68" s="2"/>
      <x:c r="I68" s="2"/>
      <x:c r="J68" s="2"/>
      <x:c r="K68" s="2"/>
      <x:c r="L68" s="2"/>
    </x:row>
    <x:row r="69" ht="23" customHeight="1">
      <x:c r="A69" s="2"/>
      <x:c r="B69" s="2"/>
      <x:c r="C69" s="2"/>
      <x:c r="D69" s="2"/>
      <x:c r="E69" s="5"/>
      <x:c r="F69" s="5"/>
      <x:c r="G69" s="5"/>
      <x:c r="H69" s="2"/>
      <x:c r="I69" s="2"/>
      <x:c r="J69" s="2"/>
      <x:c r="K69" s="2"/>
      <x:c r="L69" s="2"/>
    </x:row>
    <x:row r="70" ht="23" customHeight="1">
      <x:c r="A70" s="2"/>
      <x:c r="B70" s="2"/>
      <x:c r="C70" s="2"/>
      <x:c r="D70" s="2"/>
      <x:c r="E70" s="5"/>
      <x:c r="F70" s="5"/>
      <x:c r="G70" s="5"/>
      <x:c r="H70" s="2"/>
      <x:c r="I70" s="2"/>
      <x:c r="J70" s="2"/>
      <x:c r="K70" s="2"/>
      <x:c r="L70" s="2"/>
    </x:row>
  </x:sheetData>
  <x:mergeCells>
    <x:mergeCell ref="C2:K2"/>
    <x:mergeCell ref="C5:K5"/>
    <x:mergeCell ref="C9:K9"/>
    <x:mergeCell ref="C13:K13"/>
    <x:mergeCell ref="C17:K17"/>
    <x:mergeCell ref="C21:K21"/>
    <x:mergeCell ref="C25:K25"/>
    <x:mergeCell ref="C29:K29"/>
    <x:mergeCell ref="C33:K33"/>
    <x:mergeCell ref="C36:K36"/>
    <x:mergeCell ref="C39:K39"/>
    <x:mergeCell ref="C42:K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3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2"/>
      <x:c r="B2" s="2"/>
      <x:c r="C2" s="3" t="str">
        <x:v>Summary</x:v>
      </x:c>
      <x:c r="D2" s="3"/>
      <x:c r="E2" s="3"/>
      <x:c r="F2" s="3"/>
      <x:c r="G2" s="3"/>
      <x:c r="H2" s="3"/>
      <x:c r="I2" s="3"/>
      <x:c r="J2" s="3"/>
      <x:c r="K2" s="3"/>
      <x:c r="L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2"/>
    </x:row>
    <x:row r="4" ht="23" customHeight="1">
      <x:c r="A4" s="2"/>
      <x:c r="B4" s="2"/>
      <x:c r="C4" s="2" t="str">
        <x:v>Case selected</x:v>
      </x:c>
      <x:c r="D4" s="2"/>
      <x:c r="E4" s="36" t="str">
        <x:f>'Assumptions'!E8</x:f>
        <x:v>Earlier supplier payment</x:v>
      </x:c>
      <x:c r="F4" s="37"/>
      <x:c r="G4" s="38"/>
      <x:c r="H4" s="2"/>
      <x:c r="I4" s="2"/>
      <x:c r="J4" s="2"/>
      <x:c r="K4" s="2"/>
      <x:c r="L4" s="2"/>
    </x:row>
    <x:row r="5" ht="23" customHeight="1">
      <x:c r="A5" s="2"/>
      <x:c r="B5" s="2"/>
      <x:c r="C5" s="2"/>
      <x:c r="D5" s="2"/>
      <x:c r="E5" s="5"/>
      <x:c r="F5" s="5"/>
      <x:c r="G5" s="5"/>
      <x:c r="H5" s="2"/>
      <x:c r="I5" s="2"/>
      <x:c r="J5" s="2"/>
      <x:c r="K5" s="2"/>
      <x:c r="L5" s="2"/>
    </x:row>
    <x:row r="6" ht="23" customHeight="1">
      <x:c r="A6" s="2"/>
      <x:c r="B6" s="2"/>
      <x:c r="C6" s="21" t="str">
        <x:v>Historical performance</x:v>
      </x:c>
      <x:c r="D6" s="21" t="str"/>
      <x:c r="E6" s="22" t="str">
        <x:v>FY2024</x:v>
      </x:c>
      <x:c r="F6" s="22" t="str">
        <x:v>FY2025</x:v>
      </x:c>
      <x:c r="G6" s="22" t="str">
        <x:v>FY2026</x:v>
      </x:c>
      <x:c r="H6" s="2"/>
      <x:c r="I6" s="2" t="str">
        <x:v>Year</x:v>
      </x:c>
      <x:c r="J6" s="2" t="str">
        <x:v>Revenue</x:v>
      </x:c>
      <x:c r="K6" s="2" t="str">
        <x:v>OCF</x:v>
      </x:c>
      <x:c r="L6" s="2"/>
    </x:row>
    <x:row r="7" ht="23" customHeight="1">
      <x:c r="A7" s="2"/>
      <x:c r="B7" s="2"/>
      <x:c r="C7" s="2" t="str">
        <x:v>Revenue (INR cr)</x:v>
      </x:c>
      <x:c r="D7" s="2"/>
      <x:c r="E7" s="5" t="n">
        <x:f>'Performance'!E7</x:f>
        <x:v>17690.9</x:v>
      </x:c>
      <x:c r="F7" s="5" t="n">
        <x:f>'Performance'!F7</x:f>
        <x:v>38860.1</x:v>
      </x:c>
      <x:c r="G7" s="5" t="n">
        <x:f>'Performance'!G7</x:f>
        <x:v>48872.8</x:v>
      </x:c>
      <x:c r="H7" s="2"/>
      <x:c r="I7" s="2" t="str">
        <x:v>FY2024</x:v>
      </x:c>
      <x:c r="J7" s="39" t="n">
        <x:f>'Performance'!E7</x:f>
        <x:v>17690.9</x:v>
      </x:c>
      <x:c r="K7" s="39" t="n">
        <x:f>'Performance'!E46</x:f>
        <x:v>584.31</x:v>
      </x:c>
      <x:c r="L7" s="2"/>
    </x:row>
    <x:row r="8" ht="23" customHeight="1">
      <x:c r="A8" s="2"/>
      <x:c r="B8" s="2"/>
      <x:c r="C8" s="2" t="str">
        <x:v>Revenue growth</x:v>
      </x:c>
      <x:c r="D8" s="2"/>
      <x:c r="E8" s="63" t="n">
        <x:f>'Performance'!E8</x:f>
        <x:v>0.4510240723227754</x:v>
      </x:c>
      <x:c r="F8" s="63" t="n">
        <x:f>'Performance'!F8</x:f>
        <x:v>1.1966152089492335</x:v>
      </x:c>
      <x:c r="G8" s="63" t="n">
        <x:f>'Performance'!G8</x:f>
        <x:v>0.2576601707149493</x:v>
      </x:c>
      <x:c r="H8" s="2"/>
      <x:c r="I8" s="2" t="str">
        <x:v>FY2025</x:v>
      </x:c>
      <x:c r="J8" s="39" t="n">
        <x:f>'Performance'!F7</x:f>
        <x:v>38860.1</x:v>
      </x:c>
      <x:c r="K8" s="39" t="n">
        <x:f>'Performance'!F46</x:f>
        <x:v>1149.75</x:v>
      </x:c>
      <x:c r="L8" s="2"/>
    </x:row>
    <x:row r="9" ht="23" customHeight="1">
      <x:c r="A9" s="2"/>
      <x:c r="B9" s="2"/>
      <x:c r="C9" s="2" t="str">
        <x:v>Derived operating EBITDA margin</x:v>
      </x:c>
      <x:c r="D9" s="2"/>
      <x:c r="E9" s="67" t="n">
        <x:f>'Performance'!E14</x:f>
        <x:v>0.03943439847605269</x:v>
      </x:c>
      <x:c r="F9" s="67" t="n">
        <x:f>'Performance'!F14</x:f>
        <x:v>0.038795062287539116</x:v>
      </x:c>
      <x:c r="G9" s="67" t="n">
        <x:f>'Performance'!G14</x:f>
        <x:v>0.03819138661996044</x:v>
      </x:c>
      <x:c r="H9" s="2"/>
      <x:c r="I9" s="2" t="str">
        <x:v>FY2026</x:v>
      </x:c>
      <x:c r="J9" s="39" t="n">
        <x:f>'Performance'!G7</x:f>
        <x:v>48872.8</x:v>
      </x:c>
      <x:c r="K9" s="39" t="n">
        <x:f>'Performance'!G46</x:f>
        <x:v>1782.29</x:v>
      </x:c>
      <x:c r="L9" s="2"/>
    </x:row>
    <x:row r="10" ht="23" customHeight="1">
      <x:c r="A10" s="2"/>
      <x:c r="B10" s="2"/>
      <x:c r="C10" s="2" t="str">
        <x:v>Operating cash flow (INR cr)</x:v>
      </x:c>
      <x:c r="D10" s="2"/>
      <x:c r="E10" s="5" t="n">
        <x:f>'Performance'!E46</x:f>
        <x:v>584.31</x:v>
      </x:c>
      <x:c r="F10" s="5" t="n">
        <x:f>'Performance'!F46</x:f>
        <x:v>1149.75</x:v>
      </x:c>
      <x:c r="G10" s="5" t="n">
        <x:f>'Performance'!G46</x:f>
        <x:v>1782.29</x:v>
      </x:c>
      <x:c r="H10" s="2"/>
      <x:c r="I10" s="2"/>
      <x:c r="J10" s="2"/>
      <x:c r="K10" s="2"/>
      <x:c r="L10" s="2"/>
    </x:row>
    <x:row r="11" ht="23" customHeight="1">
      <x:c r="A11" s="2"/>
      <x:c r="B11" s="2"/>
      <x:c r="C11" s="2" t="str">
        <x:v>Cash after cash capex (INR cr)</x:v>
      </x:c>
      <x:c r="D11" s="2"/>
      <x:c r="E11" s="5" t="n">
        <x:f>'Performance'!E48</x:f>
        <x:v>-0.12000000000000455</x:v>
      </x:c>
      <x:c r="F11" s="5" t="n">
        <x:f>'Performance'!F48</x:f>
        <x:v>210.39999999999998</x:v>
      </x:c>
      <x:c r="G11" s="5" t="n">
        <x:f>'Performance'!G48</x:f>
        <x:v>714.78</x:v>
      </x:c>
      <x:c r="H11" s="2"/>
      <x:c r="I11" s="2"/>
      <x:c r="J11" s="2"/>
      <x:c r="K11" s="2"/>
      <x:c r="L11" s="2"/>
    </x:row>
    <x:row r="12" ht="23" customHeight="1">
      <x:c r="A12" s="2"/>
      <x:c r="B12" s="2"/>
      <x:c r="C12" s="2" t="str">
        <x:v>Annual cash-cycle proxy (days)</x:v>
      </x:c>
      <x:c r="D12" s="2"/>
      <x:c r="E12" s="64" t="n">
        <x:f>'Performance'!E43</x:f>
        <x:v>0.2572729548799515</x:v>
      </x:c>
      <x:c r="F12" s="64" t="n">
        <x:f>'Performance'!F43</x:f>
        <x:v>-0.5143874184095978</x:v>
      </x:c>
      <x:c r="G12" s="64" t="n">
        <x:f>'Performance'!G43</x:f>
        <x:v>-4.964599695875108</x:v>
      </x:c>
      <x:c r="H12" s="2"/>
      <x:c r="I12" s="2"/>
      <x:c r="J12" s="2"/>
      <x:c r="K12" s="2"/>
      <x:c r="L12" s="2"/>
    </x:row>
    <x:row r="13" ht="23" customHeight="1">
      <x:c r="A13" s="2"/>
      <x:c r="B13" s="2"/>
      <x:c r="C13" s="2"/>
      <x:c r="D13" s="2"/>
      <x:c r="E13" s="5"/>
      <x:c r="F13" s="5"/>
      <x:c r="G13" s="5"/>
      <x:c r="H13" s="2"/>
      <x:c r="I13" s="2"/>
      <x:c r="J13" s="2"/>
      <x:c r="K13" s="2"/>
      <x:c r="L13" s="2"/>
    </x:row>
    <x:row r="14" ht="23" customHeight="1">
      <x:c r="A14" s="2"/>
      <x:c r="B14" s="2"/>
      <x:c r="C14" s="2"/>
      <x:c r="D14" s="2"/>
      <x:c r="E14" s="5"/>
      <x:c r="F14" s="5"/>
      <x:c r="G14" s="5"/>
      <x:c r="H14" s="2"/>
      <x:c r="I14" s="2"/>
      <x:c r="J14" s="2"/>
      <x:c r="K14" s="2"/>
      <x:c r="L14" s="2"/>
    </x:row>
    <x:row r="15" ht="26" customHeight="1">
      <x:c r="A15" s="2"/>
      <x:c r="B15" s="2"/>
      <x:c r="C15" s="9" t="str">
        <x:v>Selected operational sensitivity</x:v>
      </x:c>
      <x:c r="D15" s="9"/>
      <x:c r="E15" s="10"/>
      <x:c r="F15" s="10"/>
      <x:c r="G15" s="10"/>
      <x:c r="H15" s="2"/>
      <x:c r="I15" s="2"/>
      <x:c r="J15" s="2"/>
      <x:c r="K15" s="2"/>
      <x:c r="L15" s="2"/>
    </x:row>
    <x:row r="16" ht="23" customHeight="1">
      <x:c r="A16" s="2"/>
      <x:c r="B16" s="2"/>
      <x:c r="C16" s="2" t="str">
        <x:v>Additional cash required (INR cr)</x:v>
      </x:c>
      <x:c r="D16" s="2"/>
      <x:c r="E16" s="5" t="n">
        <x:f>'Cash Scenarios'!E21</x:f>
        <x:v>621.4643835616439</x:v>
      </x:c>
      <x:c r="F16" s="5"/>
      <x:c r="G16" s="5"/>
      <x:c r="H16" s="2"/>
      <x:c r="I16" s="2"/>
      <x:c r="J16" s="2"/>
      <x:c r="K16" s="2"/>
      <x:c r="L16" s="2"/>
    </x:row>
    <x:row r="17" ht="23" customHeight="1">
      <x:c r="A17" s="2"/>
      <x:c r="B17" s="2"/>
      <x:c r="C17" s="2" t="str">
        <x:v>As share of reported closing cash</x:v>
      </x:c>
      <x:c r="D17" s="2"/>
      <x:c r="E17" s="63" t="n">
        <x:f>'Cash Scenarios'!E24</x:f>
        <x:v>0.8097994391171103</x:v>
      </x:c>
      <x:c r="F17" s="5"/>
      <x:c r="G17" s="5"/>
      <x:c r="H17" s="2"/>
      <x:c r="I17" s="2"/>
      <x:c r="J17" s="2"/>
      <x:c r="K17" s="2"/>
      <x:c r="L17" s="2"/>
    </x:row>
    <x:row r="18" ht="23" customHeight="1">
      <x:c r="A18" s="2"/>
      <x:c r="B18" s="2"/>
      <x:c r="C18" s="2"/>
      <x:c r="D18" s="2"/>
      <x:c r="E18" s="5"/>
      <x:c r="F18" s="5"/>
      <x:c r="G18" s="5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5"/>
      <x:c r="F19" s="5"/>
      <x:c r="G19" s="5"/>
      <x:c r="H19" s="2"/>
      <x:c r="I19" s="2"/>
      <x:c r="J19" s="2"/>
      <x:c r="K19" s="2"/>
      <x:c r="L19" s="2"/>
    </x:row>
    <x:row r="20" ht="26" customHeight="1">
      <x:c r="A20" s="2"/>
      <x:c r="B20" s="2"/>
      <x:c r="C20" s="9" t="str">
        <x:v>Hypothetical collections pilot</x:v>
      </x:c>
      <x:c r="D20" s="9"/>
      <x:c r="E20" s="10"/>
      <x:c r="F20" s="10"/>
      <x:c r="G20" s="10"/>
      <x:c r="H20" s="2"/>
      <x:c r="I20" s="2"/>
      <x:c r="J20" s="2"/>
      <x:c r="K20" s="2"/>
      <x:c r="L20" s="2"/>
    </x:row>
    <x:row r="21" ht="23" customHeight="1">
      <x:c r="A21" s="2"/>
      <x:c r="B21" s="2"/>
      <x:c r="C21" s="2" t="str">
        <x:v>One-time cash released (INR cr)</x:v>
      </x:c>
      <x:c r="D21" s="2"/>
      <x:c r="E21" s="5" t="n">
        <x:f>'Pilot Business Case'!E13</x:f>
        <x:v>13.389808219178082</x:v>
      </x:c>
      <x:c r="F21" s="5"/>
      <x:c r="G21" s="5"/>
      <x:c r="H21" s="2"/>
      <x:c r="I21" s="2"/>
      <x:c r="J21" s="2"/>
      <x:c r="K21" s="2"/>
      <x:c r="L21" s="2"/>
    </x:row>
    <x:row r="22" ht="23" customHeight="1">
      <x:c r="A22" s="2"/>
      <x:c r="B22" s="2"/>
      <x:c r="C22" s="2" t="str">
        <x:v>Year 1 net benefit (INR cr)</x:v>
      </x:c>
      <x:c r="D22" s="2"/>
      <x:c r="E22" s="5" t="n">
        <x:f>'Pilot Business Case'!E26</x:f>
        <x:v>-0.035254794520547916</x:v>
      </x:c>
      <x:c r="F22" s="5"/>
      <x:c r="G22" s="5"/>
      <x:c r="H22" s="2"/>
      <x:c r="I22" s="2"/>
      <x:c r="J22" s="2"/>
      <x:c r="K22" s="2"/>
      <x:c r="L22" s="2"/>
    </x:row>
    <x:row r="23" ht="23" customHeight="1">
      <x:c r="A23" s="2"/>
      <x:c r="B23" s="2"/>
      <x:c r="C23" s="2" t="str">
        <x:v>24-month net benefit (INR cr)</x:v>
      </x:c>
      <x:c r="D23" s="2"/>
      <x:c r="E23" s="5" t="n">
        <x:f>'Pilot Business Case'!E28</x:f>
        <x:v>0.5142356164383562</x:v>
      </x:c>
      <x:c r="F23" s="5"/>
      <x:c r="G23" s="5"/>
      <x:c r="H23" s="2"/>
      <x:c r="I23" s="2"/>
      <x:c r="J23" s="2"/>
      <x:c r="K23" s="2"/>
      <x:c r="L23" s="2"/>
    </x:row>
    <x:row r="24" ht="23" customHeight="1">
      <x:c r="A24" s="2"/>
      <x:c r="B24" s="2"/>
      <x:c r="C24" s="2" t="str">
        <x:v>Approximate payback (months)</x:v>
      </x:c>
      <x:c r="D24" s="2"/>
      <x:c r="E24" s="5" t="n">
        <x:f>'Pilot Business Case'!E30</x:f>
        <x:v>12.769908857023193</x:v>
      </x:c>
      <x:c r="F24" s="5"/>
      <x:c r="G24" s="5"/>
      <x:c r="H24" s="2"/>
      <x:c r="I24" s="2"/>
      <x:c r="J24" s="2"/>
      <x:c r="K24" s="2"/>
      <x:c r="L24" s="2"/>
    </x:row>
    <x:row r="25" ht="23" customHeight="1">
      <x:c r="A25" s="2"/>
      <x:c r="B25" s="2"/>
      <x:c r="C25" s="2" t="str">
        <x:v>24-month break-even financed share</x:v>
      </x:c>
      <x:c r="D25" s="2"/>
      <x:c r="E25" s="63" t="n">
        <x:f>'Pilot Business Case'!E33</x:f>
        <x:v>0.24396665084327745</x:v>
      </x:c>
      <x:c r="F25" s="5"/>
      <x:c r="G25" s="5"/>
      <x:c r="H25" s="2"/>
      <x:c r="I25" s="2"/>
      <x:c r="J25" s="2"/>
      <x:c r="K25" s="2"/>
      <x:c r="L25" s="2"/>
    </x:row>
    <x:row r="26" ht="23" customHeight="1">
      <x:c r="A26" s="2"/>
      <x:c r="B26" s="2"/>
      <x:c r="C26" s="2"/>
      <x:c r="D26" s="2"/>
      <x:c r="E26" s="5"/>
      <x:c r="F26" s="5"/>
      <x:c r="G26" s="5"/>
      <x:c r="H26" s="2"/>
      <x:c r="I26" s="2"/>
      <x:c r="J26" s="2"/>
      <x:c r="K26" s="2"/>
      <x:c r="L26" s="2"/>
    </x:row>
    <x:row r="27" ht="23" customHeight="1">
      <x:c r="A27" s="2"/>
      <x:c r="B27" s="2"/>
      <x:c r="C27" s="2"/>
      <x:c r="D27" s="2"/>
      <x:c r="E27" s="5"/>
      <x:c r="F27" s="5"/>
      <x:c r="G27" s="5"/>
      <x:c r="H27" s="2"/>
      <x:c r="I27" s="2"/>
      <x:c r="J27" s="2"/>
      <x:c r="K27" s="2"/>
      <x:c r="L27" s="2"/>
    </x:row>
    <x:row r="28" ht="38" customHeight="1">
      <x:c r="A28" s="2"/>
      <x:c r="B28" s="2"/>
      <x:c r="C28" s="65" t="str">
        <x:v>Decision: validate a limited collections pilot. The assumed pilot has a small Year 1 loss and positive 24-month economics if financing savings materialise.</x:v>
      </x:c>
      <x:c r="D28" s="65"/>
      <x:c r="E28" s="66"/>
      <x:c r="F28" s="66"/>
      <x:c r="G28" s="66"/>
      <x:c r="H28" s="17"/>
      <x:c r="I28" s="17"/>
      <x:c r="J28" s="17"/>
      <x:c r="K28" s="17"/>
      <x:c r="L28" s="2"/>
    </x:row>
    <x:row r="29" ht="23" customHeight="1">
      <x:c r="A29" s="2"/>
      <x:c r="B29" s="2"/>
      <x:c r="C29" s="2"/>
      <x:c r="D29" s="2"/>
      <x:c r="E29" s="5"/>
      <x:c r="F29" s="5"/>
      <x:c r="G29" s="5"/>
      <x:c r="H29" s="2"/>
      <x:c r="I29" s="2"/>
      <x:c r="J29" s="2"/>
      <x:c r="K29" s="2"/>
      <x:c r="L29" s="2"/>
    </x:row>
    <x:row r="30" ht="38" customHeight="1">
      <x:c r="A30" s="2"/>
      <x:c r="B30" s="2"/>
      <x:c r="C30" s="65" t="str">
        <x:v>FY2026 OCF / group PAT improved. Investment gains inflate headline earnings, so operating margin and cash-flow measures provide necessary context.</x:v>
      </x:c>
      <x:c r="D30" s="65"/>
      <x:c r="E30" s="66"/>
      <x:c r="F30" s="66"/>
      <x:c r="G30" s="66"/>
      <x:c r="H30" s="17"/>
      <x:c r="I30" s="17"/>
      <x:c r="J30" s="17"/>
      <x:c r="K30" s="17"/>
      <x:c r="L30" s="2"/>
    </x:row>
    <x:row r="31" ht="23" customHeight="1">
      <x:c r="A31" s="2"/>
      <x:c r="B31" s="2"/>
      <x:c r="C31" s="2"/>
      <x:c r="D31" s="2"/>
      <x:c r="E31" s="5"/>
      <x:c r="F31" s="5"/>
      <x:c r="G31" s="5"/>
      <x:c r="H31" s="2"/>
      <x:c r="I31" s="2"/>
      <x:c r="J31" s="2"/>
      <x:c r="K31" s="2"/>
      <x:c r="L31" s="2"/>
    </x:row>
    <x:row r="32" ht="38" customHeight="1">
      <x:c r="A32" s="2"/>
      <x:c r="B32" s="2"/>
      <x:c r="C32" s="65" t="str">
        <x:v>Three priority KPIs: invoice dispute age, actual collection days by cohort, and cash that demonstrably replaces interest-bearing borrowing.</x:v>
      </x:c>
      <x:c r="D32" s="65"/>
      <x:c r="E32" s="66"/>
      <x:c r="F32" s="66"/>
      <x:c r="G32" s="66"/>
      <x:c r="H32" s="17"/>
      <x:c r="I32" s="17"/>
      <x:c r="J32" s="17"/>
      <x:c r="K32" s="17"/>
      <x:c r="L32" s="2"/>
    </x:row>
    <x:row r="33" ht="23" customHeight="1">
      <x:c r="A33" s="2"/>
      <x:c r="B33" s="2"/>
      <x:c r="C33" s="2"/>
      <x:c r="D33" s="2"/>
      <x:c r="E33" s="5"/>
      <x:c r="F33" s="5"/>
      <x:c r="G33" s="5"/>
      <x:c r="H33" s="2"/>
      <x:c r="I33" s="2"/>
      <x:c r="J33" s="2"/>
      <x:c r="K33" s="2"/>
      <x:c r="L33" s="2"/>
    </x:row>
    <x:row r="34" ht="23" customHeight="1">
      <x:c r="A34" s="2"/>
      <x:c r="B34" s="2"/>
      <x:c r="C34" s="2"/>
      <x:c r="D34" s="2"/>
      <x:c r="E34" s="5"/>
      <x:c r="F34" s="5"/>
      <x:c r="G34" s="5"/>
      <x:c r="H34" s="2"/>
      <x:c r="I34" s="2"/>
      <x:c r="J34" s="2"/>
      <x:c r="K34" s="2"/>
      <x:c r="L34" s="2"/>
    </x:row>
    <x:row r="35" ht="23" customHeight="1">
      <x:c r="A35" s="2"/>
      <x:c r="B35" s="2"/>
      <x:c r="C35" s="2"/>
      <x:c r="D35" s="2"/>
      <x:c r="E35" s="5"/>
      <x:c r="F35" s="5"/>
      <x:c r="G35" s="5"/>
      <x:c r="H35" s="2"/>
      <x:c r="I35" s="2"/>
      <x:c r="J35" s="2"/>
      <x:c r="K35" s="2"/>
      <x:c r="L35" s="2"/>
    </x:row>
    <x:row r="36" ht="23" customHeight="1">
      <x:c r="A36" s="2"/>
      <x:c r="B36" s="2"/>
      <x:c r="C36" s="2"/>
      <x:c r="D36" s="2"/>
      <x:c r="E36" s="5"/>
      <x:c r="F36" s="5"/>
      <x:c r="G36" s="5"/>
      <x:c r="H36" s="2"/>
      <x:c r="I36" s="2"/>
      <x:c r="J36" s="2"/>
      <x:c r="K36" s="2"/>
      <x:c r="L36" s="2"/>
    </x:row>
    <x:row r="37" ht="23" customHeight="1">
      <x:c r="A37" s="2"/>
      <x:c r="B37" s="2"/>
      <x:c r="C37" s="2"/>
      <x:c r="D37" s="2"/>
      <x:c r="E37" s="5"/>
      <x:c r="F37" s="5"/>
      <x:c r="G37" s="5"/>
      <x:c r="H37" s="2"/>
      <x:c r="I37" s="2"/>
      <x:c r="J37" s="2"/>
      <x:c r="K37" s="2"/>
      <x:c r="L37" s="2"/>
    </x:row>
    <x:row r="38" ht="23" customHeight="1">
      <x:c r="A38" s="2"/>
      <x:c r="B38" s="2"/>
      <x:c r="C38" s="2"/>
      <x:c r="D38" s="2"/>
      <x:c r="E38" s="5"/>
      <x:c r="F38" s="5"/>
      <x:c r="G38" s="5"/>
      <x:c r="H38" s="2"/>
      <x:c r="I38" s="2"/>
      <x:c r="J38" s="2"/>
      <x:c r="K38" s="2"/>
      <x:c r="L38" s="2"/>
    </x:row>
    <x:row r="39" ht="23" customHeight="1">
      <x:c r="A39" s="2"/>
      <x:c r="B39" s="2"/>
      <x:c r="C39" s="2"/>
      <x:c r="D39" s="2"/>
      <x:c r="E39" s="5"/>
      <x:c r="F39" s="5"/>
      <x:c r="G39" s="5"/>
      <x:c r="H39" s="2"/>
      <x:c r="I39" s="2"/>
      <x:c r="J39" s="2"/>
      <x:c r="K39" s="2"/>
      <x:c r="L39" s="2"/>
    </x:row>
    <x:row r="40" ht="23" customHeight="1">
      <x:c r="A40" s="2"/>
      <x:c r="B40" s="2"/>
      <x:c r="C40" s="2"/>
      <x:c r="D40" s="2"/>
      <x:c r="E40" s="5"/>
      <x:c r="F40" s="5"/>
      <x:c r="G40" s="5"/>
      <x:c r="H40" s="2"/>
      <x:c r="I40" s="2"/>
      <x:c r="J40" s="2"/>
      <x:c r="K40" s="2"/>
      <x:c r="L40" s="2"/>
    </x:row>
    <x:row r="41" ht="23" customHeight="1">
      <x:c r="A41" s="2"/>
      <x:c r="B41" s="2"/>
      <x:c r="C41" s="2"/>
      <x:c r="D41" s="2"/>
      <x:c r="E41" s="5"/>
      <x:c r="F41" s="5"/>
      <x:c r="G41" s="5"/>
      <x:c r="H41" s="2"/>
      <x:c r="I41" s="2"/>
      <x:c r="J41" s="2"/>
      <x:c r="K41" s="2"/>
      <x:c r="L41" s="2"/>
    </x:row>
    <x:row r="42" ht="23" customHeight="1">
      <x:c r="A42" s="2"/>
      <x:c r="B42" s="2"/>
      <x:c r="C42" s="2"/>
      <x:c r="D42" s="2"/>
      <x:c r="E42" s="5"/>
      <x:c r="F42" s="5"/>
      <x:c r="G42" s="5"/>
      <x:c r="H42" s="2"/>
      <x:c r="I42" s="2"/>
      <x:c r="J42" s="2"/>
      <x:c r="K42" s="2"/>
      <x:c r="L42" s="2"/>
    </x:row>
    <x:row r="43" ht="23" customHeight="1">
      <x:c r="A43" s="2"/>
      <x:c r="B43" s="2"/>
      <x:c r="C43" s="2"/>
      <x:c r="D43" s="2"/>
      <x:c r="E43" s="5"/>
      <x:c r="F43" s="5"/>
      <x:c r="G43" s="5"/>
      <x:c r="H43" s="2"/>
      <x:c r="I43" s="2"/>
      <x:c r="J43" s="2"/>
      <x:c r="K43" s="2"/>
      <x:c r="L43" s="2"/>
    </x:row>
    <x:row r="44" ht="23" customHeight="1">
      <x:c r="A44" s="2"/>
      <x:c r="B44" s="2"/>
      <x:c r="C44" s="2"/>
      <x:c r="D44" s="2"/>
      <x:c r="E44" s="5"/>
      <x:c r="F44" s="5"/>
      <x:c r="G44" s="5"/>
      <x:c r="H44" s="2"/>
      <x:c r="I44" s="2"/>
      <x:c r="J44" s="2"/>
      <x:c r="K44" s="2"/>
      <x:c r="L44" s="2"/>
    </x:row>
    <x:row r="45" ht="23" customHeight="1">
      <x:c r="A45" s="2"/>
      <x:c r="B45" s="2"/>
      <x:c r="C45" s="2"/>
      <x:c r="D45" s="2"/>
      <x:c r="E45" s="5"/>
      <x:c r="F45" s="5"/>
      <x:c r="G45" s="5"/>
      <x:c r="H45" s="2"/>
      <x:c r="I45" s="2"/>
      <x:c r="J45" s="2"/>
      <x:c r="K45" s="2"/>
      <x:c r="L45" s="2"/>
    </x:row>
    <x:row r="46" ht="23" customHeight="1">
      <x:c r="A46" s="2"/>
      <x:c r="B46" s="2"/>
      <x:c r="C46" s="2"/>
      <x:c r="D46" s="2"/>
      <x:c r="E46" s="5"/>
      <x:c r="F46" s="5"/>
      <x:c r="G46" s="5"/>
      <x:c r="H46" s="2"/>
      <x:c r="I46" s="2"/>
      <x:c r="J46" s="2"/>
      <x:c r="K46" s="2"/>
      <x:c r="L46" s="2"/>
    </x:row>
    <x:row r="47" ht="23" customHeight="1">
      <x:c r="A47" s="2"/>
      <x:c r="B47" s="2"/>
      <x:c r="C47" s="2"/>
      <x:c r="D47" s="2"/>
      <x:c r="E47" s="5"/>
      <x:c r="F47" s="5"/>
      <x:c r="G47" s="5"/>
      <x:c r="H47" s="2"/>
      <x:c r="I47" s="2"/>
      <x:c r="J47" s="2"/>
      <x:c r="K47" s="2"/>
      <x:c r="L47" s="2"/>
    </x:row>
    <x:row r="48" ht="23" customHeight="1">
      <x:c r="A48" s="2"/>
      <x:c r="B48" s="2"/>
      <x:c r="C48" s="2"/>
      <x:c r="D48" s="2"/>
      <x:c r="E48" s="5"/>
      <x:c r="F48" s="5"/>
      <x:c r="G48" s="5"/>
      <x:c r="H48" s="2"/>
      <x:c r="I48" s="2"/>
      <x:c r="J48" s="2"/>
      <x:c r="K48" s="2"/>
      <x:c r="L48" s="2"/>
    </x:row>
    <x:row r="49" ht="23" customHeight="1">
      <x:c r="A49" s="2"/>
      <x:c r="B49" s="2"/>
      <x:c r="C49" s="2"/>
      <x:c r="D49" s="2"/>
      <x:c r="E49" s="5"/>
      <x:c r="F49" s="5"/>
      <x:c r="G49" s="5"/>
      <x:c r="H49" s="2"/>
      <x:c r="I49" s="2"/>
      <x:c r="J49" s="2"/>
      <x:c r="K49" s="2"/>
      <x:c r="L49" s="2"/>
    </x:row>
    <x:row r="50" ht="23" customHeight="1">
      <x:c r="A50" s="2"/>
      <x:c r="B50" s="2"/>
      <x:c r="C50" s="2"/>
      <x:c r="D50" s="2"/>
      <x:c r="E50" s="5"/>
      <x:c r="F50" s="5"/>
      <x:c r="G50" s="5"/>
      <x:c r="H50" s="2"/>
      <x:c r="I50" s="2"/>
      <x:c r="J50" s="2"/>
      <x:c r="K50" s="2"/>
      <x:c r="L50" s="2"/>
    </x:row>
    <x:row r="51" ht="23" customHeight="1">
      <x:c r="A51" s="2"/>
      <x:c r="B51" s="2"/>
      <x:c r="C51" s="2"/>
      <x:c r="D51" s="2"/>
      <x:c r="E51" s="5"/>
      <x:c r="F51" s="5"/>
      <x:c r="G51" s="5"/>
      <x:c r="H51" s="2"/>
      <x:c r="I51" s="2"/>
      <x:c r="J51" s="2"/>
      <x:c r="K51" s="2"/>
      <x:c r="L51" s="2"/>
    </x:row>
    <x:row r="52" ht="23" customHeight="1">
      <x:c r="A52" s="2"/>
      <x:c r="B52" s="2"/>
      <x:c r="C52" s="2"/>
      <x:c r="D52" s="2"/>
      <x:c r="E52" s="5"/>
      <x:c r="F52" s="5"/>
      <x:c r="G52" s="5"/>
      <x:c r="H52" s="2"/>
      <x:c r="I52" s="2"/>
      <x:c r="J52" s="2"/>
      <x:c r="K52" s="2"/>
      <x:c r="L52" s="2"/>
    </x:row>
    <x:row r="53" ht="23" customHeight="1">
      <x:c r="A53" s="2"/>
      <x:c r="B53" s="2"/>
      <x:c r="C53" s="2"/>
      <x:c r="D53" s="2"/>
      <x:c r="E53" s="5"/>
      <x:c r="F53" s="5"/>
      <x:c r="G53" s="5"/>
      <x:c r="H53" s="2"/>
      <x:c r="I53" s="2"/>
      <x:c r="J53" s="2"/>
      <x:c r="K53" s="2"/>
      <x:c r="L53" s="2"/>
    </x:row>
    <x:row r="54" ht="23" customHeight="1">
      <x:c r="A54" s="2"/>
      <x:c r="B54" s="2"/>
      <x:c r="C54" s="2"/>
      <x:c r="D54" s="2"/>
      <x:c r="E54" s="5"/>
      <x:c r="F54" s="5"/>
      <x:c r="G54" s="5"/>
      <x:c r="H54" s="2"/>
      <x:c r="I54" s="2"/>
      <x:c r="J54" s="2"/>
      <x:c r="K54" s="2"/>
      <x:c r="L54" s="2"/>
    </x:row>
    <x:row r="55" ht="23" customHeight="1">
      <x:c r="A55" s="2"/>
      <x:c r="B55" s="2"/>
      <x:c r="C55" s="2"/>
      <x:c r="D55" s="2"/>
      <x:c r="E55" s="5"/>
      <x:c r="F55" s="5"/>
      <x:c r="G55" s="5"/>
      <x:c r="H55" s="2"/>
      <x:c r="I55" s="2"/>
      <x:c r="J55" s="2"/>
      <x:c r="K55" s="2"/>
      <x:c r="L55" s="2"/>
    </x:row>
    <x:row r="56" ht="23" customHeight="1">
      <x:c r="A56" s="2"/>
      <x:c r="B56" s="2"/>
      <x:c r="C56" s="2"/>
      <x:c r="D56" s="2"/>
      <x:c r="E56" s="5"/>
      <x:c r="F56" s="5"/>
      <x:c r="G56" s="5"/>
      <x:c r="H56" s="2"/>
      <x:c r="I56" s="2"/>
      <x:c r="J56" s="2"/>
      <x:c r="K56" s="2"/>
      <x:c r="L56" s="2"/>
    </x:row>
    <x:row r="57" ht="23" customHeight="1">
      <x:c r="A57" s="2"/>
      <x:c r="B57" s="2"/>
      <x:c r="C57" s="2"/>
      <x:c r="D57" s="2"/>
      <x:c r="E57" s="5"/>
      <x:c r="F57" s="5"/>
      <x:c r="G57" s="5"/>
      <x:c r="H57" s="2"/>
      <x:c r="I57" s="2"/>
      <x:c r="J57" s="2"/>
      <x:c r="K57" s="2"/>
      <x:c r="L57" s="2"/>
    </x:row>
    <x:row r="58" ht="23" customHeight="1">
      <x:c r="A58" s="2"/>
      <x:c r="B58" s="2"/>
      <x:c r="C58" s="2"/>
      <x:c r="D58" s="2"/>
      <x:c r="E58" s="5"/>
      <x:c r="F58" s="5"/>
      <x:c r="G58" s="5"/>
      <x:c r="H58" s="2"/>
      <x:c r="I58" s="2"/>
      <x:c r="J58" s="2"/>
      <x:c r="K58" s="2"/>
      <x:c r="L58" s="2"/>
    </x:row>
    <x:row r="59" ht="23" customHeight="1">
      <x:c r="A59" s="2"/>
      <x:c r="B59" s="2"/>
      <x:c r="C59" s="2"/>
      <x:c r="D59" s="2"/>
      <x:c r="E59" s="5"/>
      <x:c r="F59" s="5"/>
      <x:c r="G59" s="5"/>
      <x:c r="H59" s="2"/>
      <x:c r="I59" s="2"/>
      <x:c r="J59" s="2"/>
      <x:c r="K59" s="2"/>
      <x:c r="L59" s="2"/>
    </x:row>
    <x:row r="60" ht="23" customHeight="1">
      <x:c r="A60" s="2"/>
      <x:c r="B60" s="2"/>
      <x:c r="C60" s="2"/>
      <x:c r="D60" s="2"/>
      <x:c r="E60" s="5"/>
      <x:c r="F60" s="5"/>
      <x:c r="G60" s="5"/>
      <x:c r="H60" s="2"/>
      <x:c r="I60" s="2"/>
      <x:c r="J60" s="2"/>
      <x:c r="K60" s="2"/>
      <x:c r="L60" s="2"/>
    </x:row>
    <x:row r="61" ht="23" customHeight="1">
      <x:c r="A61" s="2"/>
      <x:c r="B61" s="2"/>
      <x:c r="C61" s="2"/>
      <x:c r="D61" s="2"/>
      <x:c r="E61" s="5"/>
      <x:c r="F61" s="5"/>
      <x:c r="G61" s="5"/>
      <x:c r="H61" s="2"/>
      <x:c r="I61" s="2"/>
      <x:c r="J61" s="2"/>
      <x:c r="K61" s="2"/>
      <x:c r="L61" s="2"/>
    </x:row>
    <x:row r="62" ht="23" customHeight="1">
      <x:c r="A62" s="2"/>
      <x:c r="B62" s="2"/>
      <x:c r="C62" s="2"/>
      <x:c r="D62" s="2"/>
      <x:c r="E62" s="5"/>
      <x:c r="F62" s="5"/>
      <x:c r="G62" s="5"/>
      <x:c r="H62" s="2"/>
      <x:c r="I62" s="2"/>
      <x:c r="J62" s="2"/>
      <x:c r="K62" s="2"/>
      <x:c r="L62" s="2"/>
    </x:row>
    <x:row r="63" ht="23" customHeight="1">
      <x:c r="A63" s="2"/>
      <x:c r="B63" s="2"/>
      <x:c r="C63" s="2"/>
      <x:c r="D63" s="2"/>
      <x:c r="E63" s="5"/>
      <x:c r="F63" s="5"/>
      <x:c r="G63" s="5"/>
      <x:c r="H63" s="2"/>
      <x:c r="I63" s="2"/>
      <x:c r="J63" s="2"/>
      <x:c r="K63" s="2"/>
      <x:c r="L63" s="2"/>
    </x:row>
    <x:row r="64" ht="23" customHeight="1">
      <x:c r="A64" s="2"/>
      <x:c r="B64" s="2"/>
      <x:c r="C64" s="2"/>
      <x:c r="D64" s="2"/>
      <x:c r="E64" s="5"/>
      <x:c r="F64" s="5"/>
      <x:c r="G64" s="5"/>
      <x:c r="H64" s="2"/>
      <x:c r="I64" s="2"/>
      <x:c r="J64" s="2"/>
      <x:c r="K64" s="2"/>
      <x:c r="L64" s="2"/>
    </x:row>
    <x:row r="65" ht="23" customHeight="1">
      <x:c r="A65" s="2"/>
      <x:c r="B65" s="2"/>
      <x:c r="C65" s="2"/>
      <x:c r="D65" s="2"/>
      <x:c r="E65" s="5"/>
      <x:c r="F65" s="5"/>
      <x:c r="G65" s="5"/>
      <x:c r="H65" s="2"/>
      <x:c r="I65" s="2"/>
      <x:c r="J65" s="2"/>
      <x:c r="K65" s="2"/>
      <x:c r="L65" s="2"/>
    </x:row>
    <x:row r="66" ht="23" customHeight="1">
      <x:c r="A66" s="2"/>
      <x:c r="B66" s="2"/>
      <x:c r="C66" s="2"/>
      <x:c r="D66" s="2"/>
      <x:c r="E66" s="5"/>
      <x:c r="F66" s="5"/>
      <x:c r="G66" s="5"/>
      <x:c r="H66" s="2"/>
      <x:c r="I66" s="2"/>
      <x:c r="J66" s="2"/>
      <x:c r="K66" s="2"/>
      <x:c r="L66" s="2"/>
    </x:row>
    <x:row r="67" ht="23" customHeight="1">
      <x:c r="A67" s="2"/>
      <x:c r="B67" s="2"/>
      <x:c r="C67" s="2"/>
      <x:c r="D67" s="2"/>
      <x:c r="E67" s="5"/>
      <x:c r="F67" s="5"/>
      <x:c r="G67" s="5"/>
      <x:c r="H67" s="2"/>
      <x:c r="I67" s="2"/>
      <x:c r="J67" s="2"/>
      <x:c r="K67" s="2"/>
      <x:c r="L67" s="2"/>
    </x:row>
    <x:row r="68" ht="23" customHeight="1">
      <x:c r="A68" s="2"/>
      <x:c r="B68" s="2"/>
      <x:c r="C68" s="2"/>
      <x:c r="D68" s="2"/>
      <x:c r="E68" s="5"/>
      <x:c r="F68" s="5"/>
      <x:c r="G68" s="5"/>
      <x:c r="H68" s="2"/>
      <x:c r="I68" s="2"/>
      <x:c r="J68" s="2"/>
      <x:c r="K68" s="2"/>
      <x:c r="L68" s="2"/>
    </x:row>
    <x:row r="69" ht="23" customHeight="1">
      <x:c r="A69" s="2"/>
      <x:c r="B69" s="2"/>
      <x:c r="C69" s="2"/>
      <x:c r="D69" s="2"/>
      <x:c r="E69" s="5"/>
      <x:c r="F69" s="5"/>
      <x:c r="G69" s="5"/>
      <x:c r="H69" s="2"/>
      <x:c r="I69" s="2"/>
      <x:c r="J69" s="2"/>
      <x:c r="K69" s="2"/>
      <x:c r="L69" s="2"/>
    </x:row>
    <x:row r="70" ht="23" customHeight="1">
      <x:c r="A70" s="2"/>
      <x:c r="B70" s="2"/>
      <x:c r="C70" s="2"/>
      <x:c r="D70" s="2"/>
      <x:c r="E70" s="5"/>
      <x:c r="F70" s="5"/>
      <x:c r="G70" s="5"/>
      <x:c r="H70" s="2"/>
      <x:c r="I70" s="2"/>
      <x:c r="J70" s="2"/>
      <x:c r="K70" s="2"/>
      <x:c r="L70" s="2"/>
    </x:row>
  </x:sheetData>
  <x:mergeCells>
    <x:mergeCell ref="C2:K2"/>
    <x:mergeCell ref="E4:G4"/>
    <x:mergeCell ref="C28:K28"/>
    <x:mergeCell ref="C30:K30"/>
    <x:mergeCell ref="C32:K32"/>
  </x:mergeCells>
  <x:conditionalFormatting sqref="E22:E22">
    <x:cfRule type="cellIs" dxfId="2" priority="1" operator="lessThan">
      <x:formula>0</x:formula>
    </x:cfRule>
  </x:conditionalFormatting>
  <x:conditionalFormatting sqref="E23:E23">
    <x:cfRule type="cellIs" dxfId="3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1cb6c5b92de443e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3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2"/>
      <x:c r="B2" s="2"/>
      <x:c r="C2" s="3" t="str">
        <x:v>Assumptions</x:v>
      </x:c>
      <x:c r="D2" s="3"/>
      <x:c r="E2" s="3"/>
      <x:c r="F2" s="3"/>
      <x:c r="G2" s="3"/>
      <x:c r="H2" s="3"/>
      <x:c r="I2" s="3"/>
      <x:c r="J2" s="3"/>
      <x:c r="K2" s="3"/>
      <x:c r="L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/>
      <x:c r="B5" s="2"/>
      <x:c r="C5" s="2" t="str">
        <x:v>Case selector (1 to 4)</x:v>
      </x:c>
      <x:c r="D5" s="2"/>
      <x:c r="E5" s="68" t="n">
        <x:v>4</x:v>
      </x:c>
      <x:c r="F5" s="5"/>
      <x:c r="G5" s="5"/>
      <x:c r="H5" s="2"/>
      <x:c r="I5" s="2"/>
      <x:c r="J5" s="2"/>
      <x:c r="K5" s="2"/>
      <x:c r="L5" s="2"/>
    </x:row>
    <x:row r="6" ht="23" customHeight="1">
      <x:c r="A6" s="2"/>
      <x:c r="B6" s="2"/>
      <x:c r="C6" s="2" t="str">
        <x:v>Lakhs per crore</x:v>
      </x:c>
      <x:c r="D6" s="2"/>
      <x:c r="E6" s="5" t="n">
        <x:v>100</x:v>
      </x:c>
      <x:c r="F6" s="5"/>
      <x:c r="G6" s="5"/>
      <x:c r="H6" s="2"/>
      <x:c r="I6" s="2"/>
      <x:c r="J6" s="2"/>
      <x:c r="K6" s="2"/>
      <x:c r="L6" s="2"/>
    </x:row>
    <x:row r="7" ht="23" customHeight="1">
      <x:c r="A7" s="2"/>
      <x:c r="B7" s="2"/>
      <x:c r="C7" s="2" t="str">
        <x:v>Days per year</x:v>
      </x:c>
      <x:c r="D7" s="2"/>
      <x:c r="E7" s="5" t="n">
        <x:v>365</x:v>
      </x:c>
      <x:c r="F7" s="5"/>
      <x:c r="G7" s="5"/>
      <x:c r="H7" s="2"/>
      <x:c r="I7" s="2"/>
      <x:c r="J7" s="2"/>
      <x:c r="K7" s="2"/>
      <x:c r="L7" s="2"/>
    </x:row>
    <x:row r="8" ht="23" customHeight="1">
      <x:c r="A8" s="2"/>
      <x:c r="B8" s="2"/>
      <x:c r="C8" s="2" t="str">
        <x:v>Selected case</x:v>
      </x:c>
      <x:c r="D8" s="2"/>
      <x:c r="E8" s="6" t="str">
        <x:f>CHOOSE(E5,"No change","Collections delay","Inventory buffer","Earlier supplier payment")</x:f>
        <x:v>Earlier supplier payment</x:v>
      </x:c>
      <x:c r="F8" s="5"/>
      <x:c r="G8" s="5"/>
      <x:c r="H8" s="2"/>
      <x:c r="I8" s="2"/>
      <x:c r="J8" s="2"/>
      <x:c r="K8" s="2"/>
      <x:c r="L8" s="2"/>
    </x:row>
    <x:row r="9" ht="23" customHeight="1">
      <x:c r="A9" s="2"/>
      <x:c r="B9" s="2"/>
      <x:c r="C9" s="2"/>
      <x:c r="D9" s="2"/>
      <x:c r="E9" s="5"/>
      <x:c r="F9" s="5"/>
      <x:c r="G9" s="5"/>
      <x:c r="H9" s="2"/>
      <x:c r="I9" s="2"/>
      <x:c r="J9" s="2"/>
      <x:c r="K9" s="2"/>
      <x:c r="L9" s="2"/>
    </x:row>
    <x:row r="10" ht="26" customHeight="1">
      <x:c r="A10" s="2"/>
      <x:c r="B10" s="2"/>
      <x:c r="C10" s="9" t="str">
        <x:v>Collection delay (days)</x:v>
      </x:c>
      <x:c r="D10" s="9"/>
      <x:c r="E10" s="11" t="n">
        <x:f>IF(ISNUMBER(CHOOSE($E$5,E11,E12,E13,E14)),CHOOSE($E$5,E11,E12,E13,E14),"missing")</x:f>
        <x:v>0</x:v>
      </x:c>
      <x:c r="F10" s="10"/>
      <x:c r="G10" s="10"/>
      <x:c r="H10" s="2"/>
      <x:c r="I10" s="2"/>
      <x:c r="J10" s="2"/>
      <x:c r="K10" s="2"/>
      <x:c r="L10" s="2"/>
    </x:row>
    <x:row r="11" ht="23" customHeight="1">
      <x:c r="A11" s="2"/>
      <x:c r="B11" s="2"/>
      <x:c r="C11" s="2" t="str">
        <x:v>1. No change</x:v>
      </x:c>
      <x:c r="D11" s="2"/>
      <x:c r="E11" s="13" t="n">
        <x:v>0</x:v>
      </x:c>
      <x:c r="F11" s="5"/>
      <x:c r="G11" s="5"/>
      <x:c r="H11" s="2"/>
      <x:c r="I11" s="2"/>
      <x:c r="J11" s="2"/>
      <x:c r="K11" s="2"/>
      <x:c r="L11" s="2"/>
    </x:row>
    <x:row r="12" ht="23" customHeight="1">
      <x:c r="A12" s="2"/>
      <x:c r="B12" s="2"/>
      <x:c r="C12" s="2" t="str">
        <x:v>2. Collections delay</x:v>
      </x:c>
      <x:c r="D12" s="2"/>
      <x:c r="E12" s="13" t="n">
        <x:v>5</x:v>
      </x:c>
      <x:c r="F12" s="5"/>
      <x:c r="G12" s="5"/>
      <x:c r="H12" s="2"/>
      <x:c r="I12" s="2"/>
      <x:c r="J12" s="2"/>
      <x:c r="K12" s="2"/>
      <x:c r="L12" s="2"/>
    </x:row>
    <x:row r="13" ht="23" customHeight="1">
      <x:c r="A13" s="2"/>
      <x:c r="B13" s="2"/>
      <x:c r="C13" s="2" t="str">
        <x:v>3. Inventory buffer</x:v>
      </x:c>
      <x:c r="D13" s="2"/>
      <x:c r="E13" s="13" t="n">
        <x:v>0</x:v>
      </x:c>
      <x:c r="F13" s="5"/>
      <x:c r="G13" s="5"/>
      <x:c r="H13" s="2"/>
      <x:c r="I13" s="2"/>
      <x:c r="J13" s="2"/>
      <x:c r="K13" s="2"/>
      <x:c r="L13" s="2"/>
    </x:row>
    <x:row r="14" ht="23" customHeight="1">
      <x:c r="A14" s="2"/>
      <x:c r="B14" s="2"/>
      <x:c r="C14" s="2" t="str">
        <x:v>4. Earlier supplier payment</x:v>
      </x:c>
      <x:c r="D14" s="2"/>
      <x:c r="E14" s="13" t="n">
        <x:v>0</x:v>
      </x:c>
      <x:c r="F14" s="5"/>
      <x:c r="G14" s="5"/>
      <x:c r="H14" s="2"/>
      <x:c r="I14" s="2"/>
      <x:c r="J14" s="2"/>
      <x:c r="K14" s="2"/>
      <x:c r="L14" s="2"/>
    </x:row>
    <x:row r="15" ht="23" customHeight="1">
      <x:c r="A15" s="2"/>
      <x:c r="B15" s="2"/>
      <x:c r="C15" s="2"/>
      <x:c r="D15" s="2"/>
      <x:c r="E15" s="5"/>
      <x:c r="F15" s="5"/>
      <x:c r="G15" s="5"/>
      <x:c r="H15" s="2"/>
      <x:c r="I15" s="2"/>
      <x:c r="J15" s="2"/>
      <x:c r="K15" s="2"/>
      <x:c r="L15" s="2"/>
    </x:row>
    <x:row r="16" ht="23" customHeight="1">
      <x:c r="A16" s="2"/>
      <x:c r="B16" s="2"/>
      <x:c r="C16" s="2"/>
      <x:c r="D16" s="2"/>
      <x:c r="E16" s="5"/>
      <x:c r="F16" s="5"/>
      <x:c r="G16" s="5"/>
      <x:c r="H16" s="2"/>
      <x:c r="I16" s="2"/>
      <x:c r="J16" s="2"/>
      <x:c r="K16" s="2"/>
      <x:c r="L16" s="2"/>
    </x:row>
    <x:row r="17" ht="26" customHeight="1">
      <x:c r="A17" s="2"/>
      <x:c r="B17" s="2"/>
      <x:c r="C17" s="9" t="str">
        <x:v>Additional inventory (days)</x:v>
      </x:c>
      <x:c r="D17" s="9"/>
      <x:c r="E17" s="11" t="n">
        <x:f>IF(ISNUMBER(CHOOSE($E$5,E18,E19,E20,E21)),CHOOSE($E$5,E18,E19,E20,E21),"missing")</x:f>
        <x:v>0</x:v>
      </x:c>
      <x:c r="F17" s="10"/>
      <x:c r="G17" s="10"/>
      <x:c r="H17" s="2"/>
      <x:c r="I17" s="2"/>
      <x:c r="J17" s="2"/>
      <x:c r="K17" s="2"/>
      <x:c r="L17" s="2"/>
    </x:row>
    <x:row r="18" ht="23" customHeight="1">
      <x:c r="A18" s="2"/>
      <x:c r="B18" s="2"/>
      <x:c r="C18" s="2" t="str">
        <x:v>1. No change</x:v>
      </x:c>
      <x:c r="D18" s="2"/>
      <x:c r="E18" s="13" t="n">
        <x:v>0</x:v>
      </x:c>
      <x:c r="F18" s="5"/>
      <x:c r="G18" s="5"/>
      <x:c r="H18" s="2"/>
      <x:c r="I18" s="2"/>
      <x:c r="J18" s="2"/>
      <x:c r="K18" s="2"/>
      <x:c r="L18" s="2"/>
    </x:row>
    <x:row r="19" ht="23" customHeight="1">
      <x:c r="A19" s="2"/>
      <x:c r="B19" s="2"/>
      <x:c r="C19" s="2" t="str">
        <x:v>2. Collections delay</x:v>
      </x:c>
      <x:c r="D19" s="2"/>
      <x:c r="E19" s="13" t="n">
        <x:v>0</x:v>
      </x:c>
      <x:c r="F19" s="5"/>
      <x:c r="G19" s="5"/>
      <x:c r="H19" s="2"/>
      <x:c r="I19" s="2"/>
      <x:c r="J19" s="2"/>
      <x:c r="K19" s="2"/>
      <x:c r="L19" s="2"/>
    </x:row>
    <x:row r="20" ht="23" customHeight="1">
      <x:c r="A20" s="2"/>
      <x:c r="B20" s="2"/>
      <x:c r="C20" s="2" t="str">
        <x:v>3. Inventory buffer</x:v>
      </x:c>
      <x:c r="D20" s="2"/>
      <x:c r="E20" s="13" t="n">
        <x:v>5</x:v>
      </x:c>
      <x:c r="F20" s="5"/>
      <x:c r="G20" s="5"/>
      <x:c r="H20" s="2"/>
      <x:c r="I20" s="2"/>
      <x:c r="J20" s="2"/>
      <x:c r="K20" s="2"/>
      <x:c r="L20" s="2"/>
    </x:row>
    <x:row r="21" ht="23" customHeight="1">
      <x:c r="A21" s="2"/>
      <x:c r="B21" s="2"/>
      <x:c r="C21" s="2" t="str">
        <x:v>4. Earlier supplier payment</x:v>
      </x:c>
      <x:c r="D21" s="2"/>
      <x:c r="E21" s="13" t="n">
        <x:v>0</x:v>
      </x:c>
      <x:c r="F21" s="5"/>
      <x:c r="G21" s="5"/>
      <x:c r="H21" s="2"/>
      <x:c r="I21" s="2"/>
      <x:c r="J21" s="2"/>
      <x:c r="K21" s="2"/>
      <x:c r="L21" s="2"/>
    </x:row>
    <x:row r="22" ht="23" customHeight="1">
      <x:c r="A22" s="2"/>
      <x:c r="B22" s="2"/>
      <x:c r="C22" s="2"/>
      <x:c r="D22" s="2"/>
      <x:c r="E22" s="5"/>
      <x:c r="F22" s="5"/>
      <x:c r="G22" s="5"/>
      <x:c r="H22" s="2"/>
      <x:c r="I22" s="2"/>
      <x:c r="J22" s="2"/>
      <x:c r="K22" s="2"/>
      <x:c r="L22" s="2"/>
    </x:row>
    <x:row r="23" ht="23" customHeight="1">
      <x:c r="A23" s="2"/>
      <x:c r="B23" s="2"/>
      <x:c r="C23" s="2"/>
      <x:c r="D23" s="2"/>
      <x:c r="E23" s="5"/>
      <x:c r="F23" s="5"/>
      <x:c r="G23" s="5"/>
      <x:c r="H23" s="2"/>
      <x:c r="I23" s="2"/>
      <x:c r="J23" s="2"/>
      <x:c r="K23" s="2"/>
      <x:c r="L23" s="2"/>
    </x:row>
    <x:row r="24" ht="26" customHeight="1">
      <x:c r="A24" s="2"/>
      <x:c r="B24" s="2"/>
      <x:c r="C24" s="9" t="str">
        <x:v>Supplier days reduction (days)</x:v>
      </x:c>
      <x:c r="D24" s="9"/>
      <x:c r="E24" s="11" t="n">
        <x:f>IF(ISNUMBER(CHOOSE($E$5,E25,E26,E27,E28)),CHOOSE($E$5,E25,E26,E27,E28),"missing")</x:f>
        <x:v>5</x:v>
      </x:c>
      <x:c r="F24" s="10"/>
      <x:c r="G24" s="10"/>
      <x:c r="H24" s="2"/>
      <x:c r="I24" s="2"/>
      <x:c r="J24" s="2"/>
      <x:c r="K24" s="2"/>
      <x:c r="L24" s="2"/>
    </x:row>
    <x:row r="25" ht="23" customHeight="1">
      <x:c r="A25" s="2"/>
      <x:c r="B25" s="2"/>
      <x:c r="C25" s="2" t="str">
        <x:v>1. No change</x:v>
      </x:c>
      <x:c r="D25" s="2"/>
      <x:c r="E25" s="13" t="n">
        <x:v>0</x:v>
      </x:c>
      <x:c r="F25" s="5"/>
      <x:c r="G25" s="5"/>
      <x:c r="H25" s="2"/>
      <x:c r="I25" s="2"/>
      <x:c r="J25" s="2"/>
      <x:c r="K25" s="2"/>
      <x:c r="L25" s="2"/>
    </x:row>
    <x:row r="26" ht="23" customHeight="1">
      <x:c r="A26" s="2"/>
      <x:c r="B26" s="2"/>
      <x:c r="C26" s="2" t="str">
        <x:v>2. Collections delay</x:v>
      </x:c>
      <x:c r="D26" s="2"/>
      <x:c r="E26" s="13" t="n">
        <x:v>0</x:v>
      </x:c>
      <x:c r="F26" s="5"/>
      <x:c r="G26" s="5"/>
      <x:c r="H26" s="2"/>
      <x:c r="I26" s="2"/>
      <x:c r="J26" s="2"/>
      <x:c r="K26" s="2"/>
      <x:c r="L26" s="2"/>
    </x:row>
    <x:row r="27" ht="23" customHeight="1">
      <x:c r="A27" s="2"/>
      <x:c r="B27" s="2"/>
      <x:c r="C27" s="2" t="str">
        <x:v>3. Inventory buffer</x:v>
      </x:c>
      <x:c r="D27" s="2"/>
      <x:c r="E27" s="13" t="n">
        <x:v>0</x:v>
      </x:c>
      <x:c r="F27" s="5"/>
      <x:c r="G27" s="5"/>
      <x:c r="H27" s="2"/>
      <x:c r="I27" s="2"/>
      <x:c r="J27" s="2"/>
      <x:c r="K27" s="2"/>
      <x:c r="L27" s="2"/>
    </x:row>
    <x:row r="28" ht="23" customHeight="1">
      <x:c r="A28" s="2"/>
      <x:c r="B28" s="2"/>
      <x:c r="C28" s="2" t="str">
        <x:v>4. Earlier supplier payment</x:v>
      </x:c>
      <x:c r="D28" s="2"/>
      <x:c r="E28" s="13" t="n">
        <x:v>5</x:v>
      </x:c>
      <x:c r="F28" s="5"/>
      <x:c r="G28" s="5"/>
      <x:c r="H28" s="2"/>
      <x:c r="I28" s="2"/>
      <x:c r="J28" s="2"/>
      <x:c r="K28" s="2"/>
      <x:c r="L28" s="2"/>
    </x:row>
    <x:row r="29" ht="23" customHeight="1">
      <x:c r="A29" s="2"/>
      <x:c r="B29" s="2"/>
      <x:c r="C29" s="2"/>
      <x:c r="D29" s="2"/>
      <x:c r="E29" s="5"/>
      <x:c r="F29" s="5"/>
      <x:c r="G29" s="5"/>
      <x:c r="H29" s="2"/>
      <x:c r="I29" s="2"/>
      <x:c r="J29" s="2"/>
      <x:c r="K29" s="2"/>
      <x:c r="L29" s="2"/>
    </x:row>
    <x:row r="30" ht="23" customHeight="1">
      <x:c r="A30" s="2"/>
      <x:c r="B30" s="2"/>
      <x:c r="C30" s="2"/>
      <x:c r="D30" s="2"/>
      <x:c r="E30" s="5"/>
      <x:c r="F30" s="5"/>
      <x:c r="G30" s="5"/>
      <x:c r="H30" s="2"/>
      <x:c r="I30" s="2"/>
      <x:c r="J30" s="2"/>
      <x:c r="K30" s="2"/>
      <x:c r="L30" s="2"/>
    </x:row>
    <x:row r="31" ht="26" customHeight="1">
      <x:c r="A31" s="2"/>
      <x:c r="B31" s="2"/>
      <x:c r="C31" s="9" t="str">
        <x:v>Collections pilot assumptions</x:v>
      </x:c>
      <x:c r="D31" s="9"/>
      <x:c r="E31" s="10"/>
      <x:c r="F31" s="10"/>
      <x:c r="G31" s="10"/>
      <x:c r="H31" s="2"/>
      <x:c r="I31" s="2"/>
      <x:c r="J31" s="2"/>
      <x:c r="K31" s="2"/>
      <x:c r="L31" s="2"/>
    </x:row>
    <x:row r="32" ht="23" customHeight="1">
      <x:c r="A32" s="2"/>
      <x:c r="B32" s="2"/>
      <x:c r="C32" s="2"/>
      <x:c r="D32" s="2"/>
      <x:c r="E32" s="5"/>
      <x:c r="F32" s="5"/>
      <x:c r="G32" s="5"/>
      <x:c r="H32" s="2"/>
      <x:c r="I32" s="2"/>
      <x:c r="J32" s="2"/>
      <x:c r="K32" s="2"/>
      <x:c r="L32" s="2"/>
    </x:row>
    <x:row r="33" ht="23" customHeight="1">
      <x:c r="A33" s="2"/>
      <x:c r="B33" s="2"/>
      <x:c r="C33" s="2" t="str">
        <x:v>Share of annual sales</x:v>
      </x:c>
      <x:c r="D33" s="2"/>
      <x:c r="E33" s="14" t="n">
        <x:v>0.02</x:v>
      </x:c>
      <x:c r="F33" s="5"/>
      <x:c r="G33" s="5"/>
      <x:c r="H33" s="2"/>
      <x:c r="I33" s="2"/>
      <x:c r="J33" s="2"/>
      <x:c r="K33" s="2"/>
      <x:c r="L33" s="2"/>
    </x:row>
    <x:row r="34" ht="23" customHeight="1">
      <x:c r="A34" s="2"/>
      <x:c r="B34" s="2"/>
      <x:c r="C34" s="2" t="str">
        <x:v>Collection days reduction</x:v>
      </x:c>
      <x:c r="D34" s="2"/>
      <x:c r="E34" s="13" t="n">
        <x:v>5</x:v>
      </x:c>
      <x:c r="F34" s="5"/>
      <x:c r="G34" s="5"/>
      <x:c r="H34" s="2"/>
      <x:c r="I34" s="2"/>
      <x:c r="J34" s="2"/>
      <x:c r="K34" s="2"/>
      <x:c r="L34" s="2"/>
    </x:row>
    <x:row r="35" ht="23" customHeight="1">
      <x:c r="A35" s="2"/>
      <x:c r="B35" s="2"/>
      <x:c r="C35" s="2" t="str">
        <x:v>Share replacing financed borrowing</x:v>
      </x:c>
      <x:c r="D35" s="2"/>
      <x:c r="E35" s="14" t="n">
        <x:v>0.5</x:v>
      </x:c>
      <x:c r="F35" s="5"/>
      <x:c r="G35" s="5"/>
      <x:c r="H35" s="2"/>
      <x:c r="I35" s="2"/>
      <x:c r="J35" s="2"/>
      <x:c r="K35" s="2"/>
      <x:c r="L35" s="2"/>
    </x:row>
    <x:row r="36" ht="23" customHeight="1">
      <x:c r="A36" s="2"/>
      <x:c r="B36" s="2"/>
      <x:c r="C36" s="2" t="str">
        <x:v>Annual financing rate</x:v>
      </x:c>
      <x:c r="D36" s="2"/>
      <x:c r="E36" s="14" t="n">
        <x:v>0.1</x:v>
      </x:c>
      <x:c r="F36" s="5"/>
      <x:c r="G36" s="5"/>
      <x:c r="H36" s="2"/>
      <x:c r="I36" s="2"/>
      <x:c r="J36" s="2"/>
      <x:c r="K36" s="2"/>
      <x:c r="L36" s="2"/>
    </x:row>
    <x:row r="37" ht="23" customHeight="1">
      <x:c r="A37" s="2"/>
      <x:c r="B37" s="2"/>
      <x:c r="C37" s="2" t="str">
        <x:v>Initial implementation cost (INR cr)</x:v>
      </x:c>
      <x:c r="D37" s="2"/>
      <x:c r="E37" s="13" t="n">
        <x:v>0.25</x:v>
      </x:c>
      <x:c r="F37" s="5"/>
      <x:c r="G37" s="5"/>
      <x:c r="H37" s="2"/>
      <x:c r="I37" s="2"/>
      <x:c r="J37" s="2"/>
      <x:c r="K37" s="2"/>
      <x:c r="L37" s="2"/>
    </x:row>
    <x:row r="38" ht="23" customHeight="1">
      <x:c r="A38" s="2"/>
      <x:c r="B38" s="2"/>
      <x:c r="C38" s="2" t="str">
        <x:v>Annual running cost (INR cr)</x:v>
      </x:c>
      <x:c r="D38" s="2"/>
      <x:c r="E38" s="13" t="n">
        <x:v>0.12</x:v>
      </x:c>
      <x:c r="F38" s="5"/>
      <x:c r="G38" s="5"/>
      <x:c r="H38" s="2"/>
      <x:c r="I38" s="2"/>
      <x:c r="J38" s="2"/>
      <x:c r="K38" s="2"/>
      <x:c r="L38" s="2"/>
    </x:row>
    <x:row r="39" ht="23" customHeight="1">
      <x:c r="A39" s="2"/>
      <x:c r="B39" s="2"/>
      <x:c r="C39" s="2" t="str">
        <x:v>Year 1 benefit realisation</x:v>
      </x:c>
      <x:c r="D39" s="2"/>
      <x:c r="E39" s="14" t="n">
        <x:v>0.5</x:v>
      </x:c>
      <x:c r="F39" s="5"/>
      <x:c r="G39" s="5"/>
      <x:c r="H39" s="2"/>
      <x:c r="I39" s="2"/>
      <x:c r="J39" s="2"/>
      <x:c r="K39" s="2"/>
      <x:c r="L39" s="2"/>
    </x:row>
    <x:row r="40" ht="23" customHeight="1">
      <x:c r="A40" s="2"/>
      <x:c r="B40" s="2"/>
      <x:c r="C40" s="2"/>
      <x:c r="D40" s="2"/>
      <x:c r="E40" s="5"/>
      <x:c r="F40" s="5"/>
      <x:c r="G40" s="5"/>
      <x:c r="H40" s="2"/>
      <x:c r="I40" s="2"/>
      <x:c r="J40" s="2"/>
      <x:c r="K40" s="2"/>
      <x:c r="L40" s="2"/>
    </x:row>
    <x:row r="41" ht="23" customHeight="1">
      <x:c r="A41" s="2"/>
      <x:c r="B41" s="2"/>
      <x:c r="C41" s="2"/>
      <x:c r="D41" s="2"/>
      <x:c r="E41" s="5"/>
      <x:c r="F41" s="5"/>
      <x:c r="G41" s="5"/>
      <x:c r="H41" s="2"/>
      <x:c r="I41" s="2"/>
      <x:c r="J41" s="2"/>
      <x:c r="K41" s="2"/>
      <x:c r="L41" s="2"/>
    </x:row>
    <x:row r="42" ht="38" customHeight="1">
      <x:c r="A42" s="2"/>
      <x:c r="B42" s="2"/>
      <x:c r="C42" s="17" t="str">
        <x:v>All pilot and scenario inputs are analyst assumptions. They are not Dixon forecasts, supplier quotations or achieved benefits.</x:v>
      </x:c>
      <x:c r="D42" s="17"/>
      <x:c r="E42" s="18"/>
      <x:c r="F42" s="18"/>
      <x:c r="G42" s="18"/>
      <x:c r="H42" s="17"/>
      <x:c r="I42" s="17"/>
      <x:c r="J42" s="17"/>
      <x:c r="K42" s="17"/>
      <x:c r="L42" s="2"/>
    </x:row>
    <x:row r="43" ht="23" customHeight="1">
      <x:c r="A43" s="2"/>
      <x:c r="B43" s="2"/>
      <x:c r="C43" s="2"/>
      <x:c r="D43" s="2"/>
      <x:c r="E43" s="5"/>
      <x:c r="F43" s="5"/>
      <x:c r="G43" s="5"/>
      <x:c r="H43" s="2"/>
      <x:c r="I43" s="2"/>
      <x:c r="J43" s="2"/>
      <x:c r="K43" s="2"/>
      <x:c r="L43" s="2"/>
    </x:row>
    <x:row r="44" ht="38" customHeight="1">
      <x:c r="A44" s="2"/>
      <x:c r="B44" s="2"/>
      <x:c r="C44" s="17" t="str">
        <x:v>Pilot percentage inputs must stay between 0% and 100%. Costs, rates and target days must be non-negative.</x:v>
      </x:c>
      <x:c r="D44" s="17"/>
      <x:c r="E44" s="18"/>
      <x:c r="F44" s="18"/>
      <x:c r="G44" s="18"/>
      <x:c r="H44" s="17"/>
      <x:c r="I44" s="17"/>
      <x:c r="J44" s="17"/>
      <x:c r="K44" s="17"/>
      <x:c r="L44" s="2"/>
    </x:row>
    <x:row r="45" ht="23" customHeight="1">
      <x:c r="A45" s="2"/>
      <x:c r="B45" s="2"/>
      <x:c r="C45" s="2"/>
      <x:c r="D45" s="2"/>
      <x:c r="E45" s="5"/>
      <x:c r="F45" s="5"/>
      <x:c r="G45" s="5"/>
      <x:c r="H45" s="2"/>
      <x:c r="I45" s="2"/>
      <x:c r="J45" s="2"/>
      <x:c r="K45" s="2"/>
      <x:c r="L45" s="2"/>
    </x:row>
    <x:row r="46" ht="38" customHeight="1">
      <x:c r="A46" s="2"/>
      <x:c r="B46" s="2"/>
      <x:c r="C46" s="17" t="str">
        <x:v>Year 1 uses a constant fraction of full annual savings. Year 2 uses the full run rate. Payback follows this simplified timing.</x:v>
      </x:c>
      <x:c r="D46" s="17"/>
      <x:c r="E46" s="18"/>
      <x:c r="F46" s="18"/>
      <x:c r="G46" s="18"/>
      <x:c r="H46" s="17"/>
      <x:c r="I46" s="17"/>
      <x:c r="J46" s="17"/>
      <x:c r="K46" s="17"/>
      <x:c r="L46" s="2"/>
    </x:row>
    <x:row r="47" ht="23" customHeight="1">
      <x:c r="A47" s="2"/>
      <x:c r="B47" s="2"/>
      <x:c r="C47" s="2"/>
      <x:c r="D47" s="2"/>
      <x:c r="E47" s="5"/>
      <x:c r="F47" s="5"/>
      <x:c r="G47" s="5"/>
      <x:c r="H47" s="2"/>
      <x:c r="I47" s="2"/>
      <x:c r="J47" s="2"/>
      <x:c r="K47" s="2"/>
      <x:c r="L47" s="2"/>
    </x:row>
    <x:row r="48" ht="23" customHeight="1">
      <x:c r="A48" s="2"/>
      <x:c r="B48" s="2"/>
      <x:c r="C48" s="2"/>
      <x:c r="D48" s="2"/>
      <x:c r="E48" s="5"/>
      <x:c r="F48" s="5"/>
      <x:c r="G48" s="5"/>
      <x:c r="H48" s="2"/>
      <x:c r="I48" s="2"/>
      <x:c r="J48" s="2"/>
      <x:c r="K48" s="2"/>
      <x:c r="L48" s="2"/>
    </x:row>
    <x:row r="49" ht="23" customHeight="1">
      <x:c r="A49" s="2"/>
      <x:c r="B49" s="2"/>
      <x:c r="C49" s="2"/>
      <x:c r="D49" s="2"/>
      <x:c r="E49" s="5"/>
      <x:c r="F49" s="5"/>
      <x:c r="G49" s="5"/>
      <x:c r="H49" s="2"/>
      <x:c r="I49" s="2"/>
      <x:c r="J49" s="2"/>
      <x:c r="K49" s="2"/>
      <x:c r="L49" s="2"/>
    </x:row>
    <x:row r="50" ht="23" customHeight="1">
      <x:c r="A50" s="2"/>
      <x:c r="B50" s="2"/>
      <x:c r="C50" s="2"/>
      <x:c r="D50" s="2"/>
      <x:c r="E50" s="5"/>
      <x:c r="F50" s="5"/>
      <x:c r="G50" s="5"/>
      <x:c r="H50" s="2"/>
      <x:c r="I50" s="2"/>
      <x:c r="J50" s="2"/>
      <x:c r="K50" s="2"/>
      <x:c r="L50" s="2"/>
    </x:row>
    <x:row r="51" ht="23" customHeight="1">
      <x:c r="A51" s="2"/>
      <x:c r="B51" s="2"/>
      <x:c r="C51" s="2"/>
      <x:c r="D51" s="2"/>
      <x:c r="E51" s="5"/>
      <x:c r="F51" s="5"/>
      <x:c r="G51" s="5"/>
      <x:c r="H51" s="2"/>
      <x:c r="I51" s="2"/>
      <x:c r="J51" s="2"/>
      <x:c r="K51" s="2"/>
      <x:c r="L51" s="2"/>
    </x:row>
    <x:row r="52" ht="23" customHeight="1">
      <x:c r="A52" s="2"/>
      <x:c r="B52" s="2"/>
      <x:c r="C52" s="2"/>
      <x:c r="D52" s="2"/>
      <x:c r="E52" s="5"/>
      <x:c r="F52" s="5"/>
      <x:c r="G52" s="5"/>
      <x:c r="H52" s="2"/>
      <x:c r="I52" s="2"/>
      <x:c r="J52" s="2"/>
      <x:c r="K52" s="2"/>
      <x:c r="L52" s="2"/>
    </x:row>
    <x:row r="53" ht="23" customHeight="1">
      <x:c r="A53" s="2"/>
      <x:c r="B53" s="2"/>
      <x:c r="C53" s="2"/>
      <x:c r="D53" s="2"/>
      <x:c r="E53" s="5"/>
      <x:c r="F53" s="5"/>
      <x:c r="G53" s="5"/>
      <x:c r="H53" s="2"/>
      <x:c r="I53" s="2"/>
      <x:c r="J53" s="2"/>
      <x:c r="K53" s="2"/>
      <x:c r="L53" s="2"/>
    </x:row>
    <x:row r="54" ht="23" customHeight="1">
      <x:c r="A54" s="2"/>
      <x:c r="B54" s="2"/>
      <x:c r="C54" s="2"/>
      <x:c r="D54" s="2"/>
      <x:c r="E54" s="5"/>
      <x:c r="F54" s="5"/>
      <x:c r="G54" s="5"/>
      <x:c r="H54" s="2"/>
      <x:c r="I54" s="2"/>
      <x:c r="J54" s="2"/>
      <x:c r="K54" s="2"/>
      <x:c r="L54" s="2"/>
    </x:row>
    <x:row r="55" ht="23" customHeight="1">
      <x:c r="A55" s="2"/>
      <x:c r="B55" s="2"/>
      <x:c r="C55" s="2"/>
      <x:c r="D55" s="2"/>
      <x:c r="E55" s="5"/>
      <x:c r="F55" s="5"/>
      <x:c r="G55" s="5"/>
      <x:c r="H55" s="2"/>
      <x:c r="I55" s="2"/>
      <x:c r="J55" s="2"/>
      <x:c r="K55" s="2"/>
      <x:c r="L55" s="2"/>
    </x:row>
    <x:row r="56" ht="23" customHeight="1">
      <x:c r="A56" s="2"/>
      <x:c r="B56" s="2"/>
      <x:c r="C56" s="2"/>
      <x:c r="D56" s="2"/>
      <x:c r="E56" s="5"/>
      <x:c r="F56" s="5"/>
      <x:c r="G56" s="5"/>
      <x:c r="H56" s="2"/>
      <x:c r="I56" s="2"/>
      <x:c r="J56" s="2"/>
      <x:c r="K56" s="2"/>
      <x:c r="L56" s="2"/>
    </x:row>
    <x:row r="57" ht="23" customHeight="1">
      <x:c r="A57" s="2"/>
      <x:c r="B57" s="2"/>
      <x:c r="C57" s="2"/>
      <x:c r="D57" s="2"/>
      <x:c r="E57" s="5"/>
      <x:c r="F57" s="5"/>
      <x:c r="G57" s="5"/>
      <x:c r="H57" s="2"/>
      <x:c r="I57" s="2"/>
      <x:c r="J57" s="2"/>
      <x:c r="K57" s="2"/>
      <x:c r="L57" s="2"/>
    </x:row>
    <x:row r="58" ht="23" customHeight="1">
      <x:c r="A58" s="2"/>
      <x:c r="B58" s="2"/>
      <x:c r="C58" s="2"/>
      <x:c r="D58" s="2"/>
      <x:c r="E58" s="5"/>
      <x:c r="F58" s="5"/>
      <x:c r="G58" s="5"/>
      <x:c r="H58" s="2"/>
      <x:c r="I58" s="2"/>
      <x:c r="J58" s="2"/>
      <x:c r="K58" s="2"/>
      <x:c r="L58" s="2"/>
    </x:row>
    <x:row r="59" ht="23" customHeight="1">
      <x:c r="A59" s="2"/>
      <x:c r="B59" s="2"/>
      <x:c r="C59" s="2"/>
      <x:c r="D59" s="2"/>
      <x:c r="E59" s="5"/>
      <x:c r="F59" s="5"/>
      <x:c r="G59" s="5"/>
      <x:c r="H59" s="2"/>
      <x:c r="I59" s="2"/>
      <x:c r="J59" s="2"/>
      <x:c r="K59" s="2"/>
      <x:c r="L59" s="2"/>
    </x:row>
    <x:row r="60" ht="23" customHeight="1">
      <x:c r="A60" s="2"/>
      <x:c r="B60" s="2"/>
      <x:c r="C60" s="2"/>
      <x:c r="D60" s="2"/>
      <x:c r="E60" s="5"/>
      <x:c r="F60" s="5"/>
      <x:c r="G60" s="5"/>
      <x:c r="H60" s="2"/>
      <x:c r="I60" s="2"/>
      <x:c r="J60" s="2"/>
      <x:c r="K60" s="2"/>
      <x:c r="L60" s="2"/>
    </x:row>
    <x:row r="61" ht="23" customHeight="1">
      <x:c r="A61" s="2"/>
      <x:c r="B61" s="2"/>
      <x:c r="C61" s="2"/>
      <x:c r="D61" s="2"/>
      <x:c r="E61" s="5"/>
      <x:c r="F61" s="5"/>
      <x:c r="G61" s="5"/>
      <x:c r="H61" s="2"/>
      <x:c r="I61" s="2"/>
      <x:c r="J61" s="2"/>
      <x:c r="K61" s="2"/>
      <x:c r="L61" s="2"/>
    </x:row>
    <x:row r="62" ht="23" customHeight="1">
      <x:c r="A62" s="2"/>
      <x:c r="B62" s="2"/>
      <x:c r="C62" s="2"/>
      <x:c r="D62" s="2"/>
      <x:c r="E62" s="5"/>
      <x:c r="F62" s="5"/>
      <x:c r="G62" s="5"/>
      <x:c r="H62" s="2"/>
      <x:c r="I62" s="2"/>
      <x:c r="J62" s="2"/>
      <x:c r="K62" s="2"/>
      <x:c r="L62" s="2"/>
    </x:row>
    <x:row r="63" ht="23" customHeight="1">
      <x:c r="A63" s="2"/>
      <x:c r="B63" s="2"/>
      <x:c r="C63" s="2"/>
      <x:c r="D63" s="2"/>
      <x:c r="E63" s="5"/>
      <x:c r="F63" s="5"/>
      <x:c r="G63" s="5"/>
      <x:c r="H63" s="2"/>
      <x:c r="I63" s="2"/>
      <x:c r="J63" s="2"/>
      <x:c r="K63" s="2"/>
      <x:c r="L63" s="2"/>
    </x:row>
    <x:row r="64" ht="23" customHeight="1">
      <x:c r="A64" s="2"/>
      <x:c r="B64" s="2"/>
      <x:c r="C64" s="2"/>
      <x:c r="D64" s="2"/>
      <x:c r="E64" s="5"/>
      <x:c r="F64" s="5"/>
      <x:c r="G64" s="5"/>
      <x:c r="H64" s="2"/>
      <x:c r="I64" s="2"/>
      <x:c r="J64" s="2"/>
      <x:c r="K64" s="2"/>
      <x:c r="L64" s="2"/>
    </x:row>
    <x:row r="65" ht="23" customHeight="1">
      <x:c r="A65" s="2"/>
      <x:c r="B65" s="2"/>
      <x:c r="C65" s="2"/>
      <x:c r="D65" s="2"/>
      <x:c r="E65" s="5"/>
      <x:c r="F65" s="5"/>
      <x:c r="G65" s="5"/>
      <x:c r="H65" s="2"/>
      <x:c r="I65" s="2"/>
      <x:c r="J65" s="2"/>
      <x:c r="K65" s="2"/>
      <x:c r="L65" s="2"/>
    </x:row>
    <x:row r="66" ht="23" customHeight="1">
      <x:c r="A66" s="2"/>
      <x:c r="B66" s="2"/>
      <x:c r="C66" s="2"/>
      <x:c r="D66" s="2"/>
      <x:c r="E66" s="5"/>
      <x:c r="F66" s="5"/>
      <x:c r="G66" s="5"/>
      <x:c r="H66" s="2"/>
      <x:c r="I66" s="2"/>
      <x:c r="J66" s="2"/>
      <x:c r="K66" s="2"/>
      <x:c r="L66" s="2"/>
    </x:row>
    <x:row r="67" ht="23" customHeight="1">
      <x:c r="A67" s="2"/>
      <x:c r="B67" s="2"/>
      <x:c r="C67" s="2"/>
      <x:c r="D67" s="2"/>
      <x:c r="E67" s="5"/>
      <x:c r="F67" s="5"/>
      <x:c r="G67" s="5"/>
      <x:c r="H67" s="2"/>
      <x:c r="I67" s="2"/>
      <x:c r="J67" s="2"/>
      <x:c r="K67" s="2"/>
      <x:c r="L67" s="2"/>
    </x:row>
    <x:row r="68" ht="23" customHeight="1">
      <x:c r="A68" s="2"/>
      <x:c r="B68" s="2"/>
      <x:c r="C68" s="2"/>
      <x:c r="D68" s="2"/>
      <x:c r="E68" s="5"/>
      <x:c r="F68" s="5"/>
      <x:c r="G68" s="5"/>
      <x:c r="H68" s="2"/>
      <x:c r="I68" s="2"/>
      <x:c r="J68" s="2"/>
      <x:c r="K68" s="2"/>
      <x:c r="L68" s="2"/>
    </x:row>
    <x:row r="69" ht="23" customHeight="1">
      <x:c r="A69" s="2"/>
      <x:c r="B69" s="2"/>
      <x:c r="C69" s="2"/>
      <x:c r="D69" s="2"/>
      <x:c r="E69" s="5"/>
      <x:c r="F69" s="5"/>
      <x:c r="G69" s="5"/>
      <x:c r="H69" s="2"/>
      <x:c r="I69" s="2"/>
      <x:c r="J69" s="2"/>
      <x:c r="K69" s="2"/>
      <x:c r="L69" s="2"/>
    </x:row>
    <x:row r="70" ht="23" customHeight="1">
      <x:c r="A70" s="2"/>
      <x:c r="B70" s="2"/>
      <x:c r="C70" s="2"/>
      <x:c r="D70" s="2"/>
      <x:c r="E70" s="5"/>
      <x:c r="F70" s="5"/>
      <x:c r="G70" s="5"/>
      <x:c r="H70" s="2"/>
      <x:c r="I70" s="2"/>
      <x:c r="J70" s="2"/>
      <x:c r="K70" s="2"/>
      <x:c r="L70" s="2"/>
    </x:row>
  </x:sheetData>
  <x:mergeCells>
    <x:mergeCell ref="C2:K2"/>
    <x:mergeCell ref="E8:G8"/>
    <x:mergeCell ref="C42:K42"/>
    <x:mergeCell ref="C44:K44"/>
    <x:mergeCell ref="C46:K46"/>
  </x:mergeCells>
  <x:dataValidations count="1">
    <x:dataValidation type="whole" operator="between" sqref="E5">
      <x:formula1>1</x:formula1>
      <x:formula2>4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3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2"/>
      <x:c r="B2" s="2"/>
      <x:c r="C2" s="3" t="str">
        <x:v>Performance</x:v>
      </x:c>
      <x:c r="D2" s="3"/>
      <x:c r="E2" s="3"/>
      <x:c r="F2" s="3"/>
      <x:c r="G2" s="3"/>
      <x:c r="H2" s="3"/>
      <x:c r="I2" s="3"/>
      <x:c r="J2" s="3"/>
      <x:c r="K2" s="3"/>
      <x:c r="L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2"/>
    </x:row>
    <x:row r="4" ht="23" customHeight="1">
      <x:c r="A4" s="2"/>
      <x:c r="B4" s="2"/>
      <x:c r="C4" s="2" t="str">
        <x:v>Case selected</x:v>
      </x:c>
      <x:c r="D4" s="2"/>
      <x:c r="E4" s="36" t="str">
        <x:f>'Assumptions'!E8</x:f>
        <x:v>Earlier supplier payment</x:v>
      </x:c>
      <x:c r="F4" s="37"/>
      <x:c r="G4" s="38"/>
      <x:c r="H4" s="2"/>
      <x:c r="I4" s="2"/>
      <x:c r="J4" s="2"/>
      <x:c r="K4" s="2"/>
      <x:c r="L4" s="2"/>
    </x:row>
    <x:row r="5" ht="23" customHeight="1">
      <x:c r="A5" s="2"/>
      <x:c r="B5" s="2"/>
      <x:c r="C5" s="2"/>
      <x:c r="D5" s="2"/>
      <x:c r="E5" s="5"/>
      <x:c r="F5" s="5"/>
      <x:c r="G5" s="5"/>
      <x:c r="H5" s="2"/>
      <x:c r="I5" s="2"/>
      <x:c r="J5" s="2"/>
      <x:c r="K5" s="2"/>
      <x:c r="L5" s="2"/>
    </x:row>
    <x:row r="6" ht="23" customHeight="1">
      <x:c r="A6" s="2"/>
      <x:c r="B6" s="2"/>
      <x:c r="C6" s="2"/>
      <x:c r="D6" s="2"/>
      <x:c r="E6" s="22" t="str">
        <x:v>FY2024</x:v>
      </x:c>
      <x:c r="F6" s="22" t="str">
        <x:v>FY2025</x:v>
      </x:c>
      <x:c r="G6" s="22" t="str">
        <x:v>FY2026</x:v>
      </x:c>
      <x:c r="H6" s="2"/>
      <x:c r="I6" s="2"/>
      <x:c r="J6" s="2"/>
      <x:c r="K6" s="2"/>
      <x:c r="L6" s="2"/>
    </x:row>
    <x:row r="7" ht="23" customHeight="1">
      <x:c r="A7" s="2"/>
      <x:c r="B7" s="2"/>
      <x:c r="C7" s="2" t="str">
        <x:v>Revenue from operations (INR cr)</x:v>
      </x:c>
      <x:c r="D7" s="2"/>
      <x:c r="E7" s="39" t="n">
        <x:f>'Sources &amp; Data'!E7/'Assumptions'!$E$6</x:f>
        <x:v>17690.9</x:v>
      </x:c>
      <x:c r="F7" s="39" t="n">
        <x:f>'Sources &amp; Data'!F7/'Assumptions'!$E$6</x:f>
        <x:v>38860.1</x:v>
      </x:c>
      <x:c r="G7" s="39" t="n">
        <x:f>'Sources &amp; Data'!G7/'Assumptions'!$E$6</x:f>
        <x:v>48872.8</x:v>
      </x:c>
      <x:c r="H7" s="2"/>
      <x:c r="I7" s="2"/>
      <x:c r="J7" s="2"/>
      <x:c r="K7" s="2"/>
      <x:c r="L7" s="2"/>
    </x:row>
    <x:row r="8" ht="23" customHeight="1">
      <x:c r="A8" s="2"/>
      <x:c r="B8" s="2"/>
      <x:c r="C8" s="46" t="str">
        <x:v>Revenue growth</x:v>
      </x:c>
      <x:c r="D8" s="46"/>
      <x:c r="E8" s="47" t="n">
        <x:f>E7/('Sources &amp; Data'!D7/'Assumptions'!$E$6)-1</x:f>
        <x:v>0.4510240723227754</x:v>
      </x:c>
      <x:c r="F8" s="47" t="n">
        <x:f>F7/('Sources &amp; Data'!E7/'Assumptions'!$E$6)-1</x:f>
        <x:v>1.1966152089492335</x:v>
      </x:c>
      <x:c r="G8" s="47" t="n">
        <x:f>G7/('Sources &amp; Data'!F7/'Assumptions'!$E$6)-1</x:f>
        <x:v>0.2576601707149493</x:v>
      </x:c>
      <x:c r="H8" s="2"/>
      <x:c r="I8" s="2"/>
      <x:c r="J8" s="2"/>
      <x:c r="K8" s="2"/>
      <x:c r="L8" s="2"/>
    </x:row>
    <x:row r="9" ht="23" customHeight="1">
      <x:c r="A9" s="2"/>
      <x:c r="B9" s="2"/>
      <x:c r="C9" s="2"/>
      <x:c r="D9" s="2"/>
      <x:c r="E9" s="5"/>
      <x:c r="F9" s="5"/>
      <x:c r="G9" s="5"/>
      <x:c r="H9" s="2"/>
      <x:c r="I9" s="2"/>
      <x:c r="J9" s="2"/>
      <x:c r="K9" s="2"/>
      <x:c r="L9" s="2"/>
    </x:row>
    <x:row r="10" ht="23" customHeight="1">
      <x:c r="A10" s="2"/>
      <x:c r="B10" s="2"/>
      <x:c r="C10" s="2" t="str">
        <x:v>Materials cost proxy</x:v>
      </x:c>
      <x:c r="D10" s="2"/>
      <x:c r="E10" s="39" t="n">
        <x:f>('Sources &amp; Data'!E9/'Assumptions'!$E$6)+('Sources &amp; Data'!E10/'Assumptions'!$E$6)</x:f>
        <x:v>16038.95</x:v>
      </x:c>
      <x:c r="F10" s="39" t="n">
        <x:f>('Sources &amp; Data'!F9/'Assumptions'!$E$6)+('Sources &amp; Data'!F10/'Assumptions'!$E$6)</x:f>
        <x:v>35832.82</x:v>
      </x:c>
      <x:c r="G10" s="39" t="n">
        <x:f>('Sources &amp; Data'!G9/'Assumptions'!$E$6)+('Sources &amp; Data'!G10/'Assumptions'!$E$6)</x:f>
        <x:v>45277.18</x:v>
      </x:c>
      <x:c r="H10" s="2"/>
      <x:c r="I10" s="2"/>
      <x:c r="J10" s="2"/>
      <x:c r="K10" s="2"/>
      <x:c r="L10" s="2"/>
    </x:row>
    <x:row r="11" ht="23" customHeight="1">
      <x:c r="A11" s="2"/>
      <x:c r="B11" s="2"/>
      <x:c r="C11" s="2" t="str">
        <x:v>Employee benefits</x:v>
      </x:c>
      <x:c r="D11" s="2"/>
      <x:c r="E11" s="39" t="n">
        <x:f>'Sources &amp; Data'!E11/'Assumptions'!$E$6</x:f>
        <x:v>332.67</x:v>
      </x:c>
      <x:c r="F11" s="39" t="n">
        <x:f>'Sources &amp; Data'!F11/'Assumptions'!$E$6</x:f>
        <x:v>567.42</x:v>
      </x:c>
      <x:c r="G11" s="39" t="n">
        <x:f>'Sources &amp; Data'!G11/'Assumptions'!$E$6</x:f>
        <x:v>711.15</x:v>
      </x:c>
      <x:c r="H11" s="2"/>
      <x:c r="I11" s="2"/>
      <x:c r="J11" s="2"/>
      <x:c r="K11" s="2"/>
      <x:c r="L11" s="2"/>
    </x:row>
    <x:row r="12" ht="23" customHeight="1">
      <x:c r="A12" s="2"/>
      <x:c r="B12" s="2"/>
      <x:c r="C12" s="2" t="str">
        <x:v>Other operating expenses</x:v>
      </x:c>
      <x:c r="D12" s="2"/>
      <x:c r="E12" s="39" t="n">
        <x:f>'Sources &amp; Data'!E12/'Assumptions'!$E$6</x:f>
        <x:v>621.65</x:v>
      </x:c>
      <x:c r="F12" s="39" t="n">
        <x:f>'Sources &amp; Data'!F12/'Assumptions'!$E$6</x:f>
        <x:v>952.28</x:v>
      </x:c>
      <x:c r="G12" s="39" t="n">
        <x:f>'Sources &amp; Data'!G12/'Assumptions'!$E$6</x:f>
        <x:v>1017.95</x:v>
      </x:c>
      <x:c r="H12" s="2"/>
      <x:c r="I12" s="2"/>
      <x:c r="J12" s="2"/>
      <x:c r="K12" s="2"/>
      <x:c r="L12" s="2"/>
    </x:row>
    <x:row r="13" ht="23" customHeight="1">
      <x:c r="A13" s="2"/>
      <x:c r="B13" s="2"/>
      <x:c r="C13" s="9" t="str">
        <x:v>Derived operating EBITDA</x:v>
      </x:c>
      <x:c r="D13" s="9"/>
      <x:c r="E13" s="11" t="n">
        <x:f>E7-E10-E11-E12</x:f>
        <x:v>697.6300000000007</x:v>
      </x:c>
      <x:c r="F13" s="11" t="n">
        <x:f>F7-F10-F11-F12</x:f>
        <x:v>1507.5799999999988</x:v>
      </x:c>
      <x:c r="G13" s="11" t="n">
        <x:f>G7-G10-G11-G12</x:f>
        <x:v>1866.5200000000025</x:v>
      </x:c>
      <x:c r="H13" s="2"/>
      <x:c r="I13" s="2"/>
      <x:c r="J13" s="2"/>
      <x:c r="K13" s="2"/>
      <x:c r="L13" s="2"/>
    </x:row>
    <x:row r="14" ht="23" customHeight="1">
      <x:c r="A14" s="2"/>
      <x:c r="B14" s="2"/>
      <x:c r="C14" s="46" t="str">
        <x:v>Derived operating EBITDA margin</x:v>
      </x:c>
      <x:c r="D14" s="46"/>
      <x:c r="E14" s="48" t="n">
        <x:f>E13/E7</x:f>
        <x:v>0.03943439847605269</x:v>
      </x:c>
      <x:c r="F14" s="48" t="n">
        <x:f>F13/F7</x:f>
        <x:v>0.038795062287539116</x:v>
      </x:c>
      <x:c r="G14" s="48" t="n">
        <x:f>G13/G7</x:f>
        <x:v>0.03819138661996044</x:v>
      </x:c>
      <x:c r="H14" s="2"/>
      <x:c r="I14" s="2"/>
      <x:c r="J14" s="2"/>
      <x:c r="K14" s="2"/>
      <x:c r="L14" s="2"/>
    </x:row>
    <x:row r="15" ht="23" customHeight="1">
      <x:c r="A15" s="2"/>
      <x:c r="B15" s="2"/>
      <x:c r="C15" s="2" t="str">
        <x:v>Depreciation and amortisation</x:v>
      </x:c>
      <x:c r="D15" s="2"/>
      <x:c r="E15" s="39" t="n">
        <x:f>'Sources &amp; Data'!E13/'Assumptions'!$E$6</x:f>
        <x:v>161.88</x:v>
      </x:c>
      <x:c r="F15" s="39" t="n">
        <x:f>'Sources &amp; Data'!F13/'Assumptions'!$E$6</x:f>
        <x:v>281.02</x:v>
      </x:c>
      <x:c r="G15" s="39" t="n">
        <x:f>'Sources &amp; Data'!G13/'Assumptions'!$E$6</x:f>
        <x:v>392.98</x:v>
      </x:c>
      <x:c r="H15" s="2"/>
      <x:c r="I15" s="2"/>
      <x:c r="J15" s="2"/>
      <x:c r="K15" s="2"/>
      <x:c r="L15" s="2"/>
    </x:row>
    <x:row r="16" ht="23" customHeight="1">
      <x:c r="A16" s="2"/>
      <x:c r="B16" s="2"/>
      <x:c r="C16" s="9" t="str">
        <x:v>Derived operating EBIT</x:v>
      </x:c>
      <x:c r="D16" s="9"/>
      <x:c r="E16" s="11" t="n">
        <x:f>E13-E15</x:f>
        <x:v>535.7500000000007</x:v>
      </x:c>
      <x:c r="F16" s="11" t="n">
        <x:f>F13-F15</x:f>
        <x:v>1226.5599999999988</x:v>
      </x:c>
      <x:c r="G16" s="11" t="n">
        <x:f>G13-G15</x:f>
        <x:v>1473.5400000000025</x:v>
      </x:c>
      <x:c r="H16" s="2"/>
      <x:c r="I16" s="2"/>
      <x:c r="J16" s="2"/>
      <x:c r="K16" s="2"/>
      <x:c r="L16" s="2"/>
    </x:row>
    <x:row r="17" ht="23" customHeight="1">
      <x:c r="A17" s="2"/>
      <x:c r="B17" s="2"/>
      <x:c r="C17" s="2" t="str">
        <x:v>Other income</x:v>
      </x:c>
      <x:c r="D17" s="2"/>
      <x:c r="E17" s="39" t="n">
        <x:f>'Sources &amp; Data'!E8/'Assumptions'!$E$6</x:f>
        <x:v>22.56</x:v>
      </x:c>
      <x:c r="F17" s="39" t="n">
        <x:f>'Sources &amp; Data'!F8/'Assumptions'!$E$6</x:f>
        <x:v>20.23</x:v>
      </x:c>
      <x:c r="G17" s="39" t="n">
        <x:f>'Sources &amp; Data'!G8/'Assumptions'!$E$6</x:f>
        <x:v>713.04</x:v>
      </x:c>
      <x:c r="H17" s="2"/>
      <x:c r="I17" s="2"/>
      <x:c r="J17" s="2"/>
      <x:c r="K17" s="2"/>
      <x:c r="L17" s="2"/>
    </x:row>
    <x:row r="18" ht="23" customHeight="1">
      <x:c r="A18" s="2"/>
      <x:c r="B18" s="2"/>
      <x:c r="C18" s="2" t="str">
        <x:v>Finance costs</x:v>
      </x:c>
      <x:c r="D18" s="2"/>
      <x:c r="E18" s="39" t="n">
        <x:f>'Sources &amp; Data'!E14/'Assumptions'!$E$6</x:f>
        <x:v>74.72</x:v>
      </x:c>
      <x:c r="F18" s="39" t="n">
        <x:f>'Sources &amp; Data'!F14/'Assumptions'!$E$6</x:f>
        <x:v>154.35</x:v>
      </x:c>
      <x:c r="G18" s="39" t="n">
        <x:f>'Sources &amp; Data'!G14/'Assumptions'!$E$6</x:f>
        <x:v>137.47</x:v>
      </x:c>
      <x:c r="H18" s="2"/>
      <x:c r="I18" s="2"/>
      <x:c r="J18" s="2"/>
      <x:c r="K18" s="2"/>
      <x:c r="L18" s="2"/>
    </x:row>
    <x:row r="19" ht="23" customHeight="1">
      <x:c r="A19" s="2"/>
      <x:c r="B19" s="2"/>
      <x:c r="C19" s="2" t="str">
        <x:v>Joint venture profit</x:v>
      </x:c>
      <x:c r="D19" s="2"/>
      <x:c r="E19" s="39" t="n">
        <x:f>'Sources &amp; Data'!E15/'Assumptions'!$E$6</x:f>
        <x:v>10.24</x:v>
      </x:c>
      <x:c r="F19" s="39" t="n">
        <x:f>'Sources &amp; Data'!F15/'Assumptions'!$E$6</x:f>
        <x:v>17.38</x:v>
      </x:c>
      <x:c r="G19" s="39" t="n">
        <x:f>'Sources &amp; Data'!G15/'Assumptions'!$E$6</x:f>
        <x:v>21.45</x:v>
      </x:c>
      <x:c r="H19" s="2"/>
      <x:c r="I19" s="2"/>
      <x:c r="J19" s="2"/>
      <x:c r="K19" s="2"/>
      <x:c r="L19" s="2"/>
    </x:row>
    <x:row r="20" ht="23" customHeight="1">
      <x:c r="A20" s="2"/>
      <x:c r="B20" s="2"/>
      <x:c r="C20" s="2" t="str">
        <x:v>Exceptional gain</x:v>
      </x:c>
      <x:c r="D20" s="2"/>
      <x:c r="E20" s="39" t="n">
        <x:f>'Sources &amp; Data'!E16/'Assumptions'!$E$6</x:f>
        <x:v>0</x:v>
      </x:c>
      <x:c r="F20" s="39" t="n">
        <x:f>'Sources &amp; Data'!F16/'Assumptions'!$E$6</x:f>
        <x:v>459.98</x:v>
      </x:c>
      <x:c r="G20" s="39" t="n">
        <x:f>'Sources &amp; Data'!G16/'Assumptions'!$E$6</x:f>
        <x:v>0</x:v>
      </x:c>
      <x:c r="H20" s="2"/>
      <x:c r="I20" s="2"/>
      <x:c r="J20" s="2"/>
      <x:c r="K20" s="2"/>
      <x:c r="L20" s="2"/>
    </x:row>
    <x:row r="21" ht="23" customHeight="1">
      <x:c r="A21" s="2"/>
      <x:c r="B21" s="2"/>
      <x:c r="C21" s="2" t="str">
        <x:v>Tax expense</x:v>
      </x:c>
      <x:c r="D21" s="2"/>
      <x:c r="E21" s="39" t="n">
        <x:f>'Sources &amp; Data'!E17/'Assumptions'!$E$6</x:f>
        <x:v>118.91</x:v>
      </x:c>
      <x:c r="F21" s="39" t="n">
        <x:f>'Sources &amp; Data'!F17/'Assumptions'!$E$6</x:f>
        <x:v>337.22</x:v>
      </x:c>
      <x:c r="G21" s="39" t="n">
        <x:f>'Sources &amp; Data'!G17/'Assumptions'!$E$6</x:f>
        <x:v>426.31</x:v>
      </x:c>
      <x:c r="H21" s="2"/>
      <x:c r="I21" s="2"/>
      <x:c r="J21" s="2"/>
      <x:c r="K21" s="2"/>
      <x:c r="L21" s="2"/>
    </x:row>
    <x:row r="22" ht="23" customHeight="1">
      <x:c r="A22" s="2"/>
      <x:c r="B22" s="2"/>
      <x:c r="C22" s="9" t="str">
        <x:v>Reconstructed group PAT</x:v>
      </x:c>
      <x:c r="D22" s="9"/>
      <x:c r="E22" s="11" t="n">
        <x:f>E16+E17-E18+E19+E20-E21</x:f>
        <x:v>374.92000000000064</x:v>
      </x:c>
      <x:c r="F22" s="11" t="n">
        <x:f>F16+F17-F18+F19+F20-F21</x:f>
        <x:v>1232.579999999999</x:v>
      </x:c>
      <x:c r="G22" s="11" t="n">
        <x:f>G16+G17-G18+G19+G20-G21</x:f>
        <x:v>1644.2500000000027</x:v>
      </x:c>
      <x:c r="H22" s="2"/>
      <x:c r="I22" s="2"/>
      <x:c r="J22" s="2"/>
      <x:c r="K22" s="2"/>
      <x:c r="L22" s="2"/>
    </x:row>
    <x:row r="23" ht="23" customHeight="1">
      <x:c r="A23" s="2"/>
      <x:c r="B23" s="2"/>
      <x:c r="C23" s="2" t="str">
        <x:v>Reported group PAT</x:v>
      </x:c>
      <x:c r="D23" s="2"/>
      <x:c r="E23" s="39" t="n">
        <x:f>'Sources &amp; Data'!E18/'Assumptions'!$E$6</x:f>
        <x:v>374.92</x:v>
      </x:c>
      <x:c r="F23" s="39" t="n">
        <x:f>'Sources &amp; Data'!F18/'Assumptions'!$E$6</x:f>
        <x:v>1232.58</x:v>
      </x:c>
      <x:c r="G23" s="39" t="n">
        <x:f>'Sources &amp; Data'!G18/'Assumptions'!$E$6</x:f>
        <x:v>1644.25</x:v>
      </x:c>
      <x:c r="H23" s="2"/>
      <x:c r="I23" s="2"/>
      <x:c r="J23" s="2"/>
      <x:c r="K23" s="2"/>
      <x:c r="L23" s="2"/>
    </x:row>
    <x:row r="24" ht="23" customHeight="1">
      <x:c r="A24" s="2"/>
      <x:c r="B24" s="2"/>
      <x:c r="C24" s="2" t="str">
        <x:v>PAT attributable to owners</x:v>
      </x:c>
      <x:c r="D24" s="2"/>
      <x:c r="E24" s="39" t="n">
        <x:f>'Sources &amp; Data'!E19/'Assumptions'!$E$6</x:f>
        <x:v>367.75</x:v>
      </x:c>
      <x:c r="F24" s="39" t="n">
        <x:f>'Sources &amp; Data'!F19/'Assumptions'!$E$6</x:f>
        <x:v>1095.54</x:v>
      </x:c>
      <x:c r="G24" s="39" t="n">
        <x:f>'Sources &amp; Data'!G19/'Assumptions'!$E$6</x:f>
        <x:v>1438.64</x:v>
      </x:c>
      <x:c r="H24" s="2"/>
      <x:c r="I24" s="2"/>
      <x:c r="J24" s="2"/>
      <x:c r="K24" s="2"/>
      <x:c r="L24" s="2"/>
    </x:row>
    <x:row r="25" ht="23" customHeight="1">
      <x:c r="A25" s="2"/>
      <x:c r="B25" s="2"/>
      <x:c r="C25" s="46" t="str">
        <x:v>OCF / reported group PAT</x:v>
      </x:c>
      <x:c r="D25" s="46"/>
      <x:c r="E25" s="49" t="n">
        <x:f>E46/E23</x:f>
        <x:v>1.5584924783953908</x:v>
      </x:c>
      <x:c r="F25" s="49" t="n">
        <x:f>F46/F23</x:f>
        <x:v>0.932799493744828</x:v>
      </x:c>
      <x:c r="G25" s="49" t="n">
        <x:f>G46/G23</x:f>
        <x:v>1.083953170138361</x:v>
      </x:c>
      <x:c r="H25" s="2"/>
      <x:c r="I25" s="2"/>
      <x:c r="J25" s="2"/>
      <x:c r="K25" s="2"/>
      <x:c r="L25" s="2"/>
    </x:row>
    <x:row r="26" ht="23" customHeight="1">
      <x:c r="A26" s="2"/>
      <x:c r="B26" s="2"/>
      <x:c r="C26" s="2"/>
      <x:c r="D26" s="2"/>
      <x:c r="E26" s="5"/>
      <x:c r="F26" s="5"/>
      <x:c r="G26" s="5"/>
      <x:c r="H26" s="2"/>
      <x:c r="I26" s="2"/>
      <x:c r="J26" s="2"/>
      <x:c r="K26" s="2"/>
      <x:c r="L26" s="2"/>
    </x:row>
    <x:row r="27" ht="23" customHeight="1">
      <x:c r="A27" s="2"/>
      <x:c r="B27" s="2"/>
      <x:c r="C27" s="2"/>
      <x:c r="D27" s="2"/>
      <x:c r="E27" s="5"/>
      <x:c r="F27" s="5"/>
      <x:c r="G27" s="5"/>
      <x:c r="H27" s="2"/>
      <x:c r="I27" s="2"/>
      <x:c r="J27" s="2"/>
      <x:c r="K27" s="2"/>
      <x:c r="L27" s="2"/>
    </x:row>
    <x:row r="28" ht="23" customHeight="1">
      <x:c r="A28" s="2"/>
      <x:c r="B28" s="2"/>
      <x:c r="C28" s="2" t="str">
        <x:v>Opening inventories</x:v>
      </x:c>
      <x:c r="D28" s="2"/>
      <x:c r="E28" s="39" t="n">
        <x:f>'Sources &amp; Data'!D20/'Assumptions'!$E$6</x:f>
        <x:v>957.87</x:v>
      </x:c>
      <x:c r="F28" s="39" t="n">
        <x:f>'Sources &amp; Data'!E20/'Assumptions'!$E$6</x:f>
        <x:v>1695.01</x:v>
      </x:c>
      <x:c r="G28" s="39" t="n">
        <x:f>'Sources &amp; Data'!F20/'Assumptions'!$E$6</x:f>
        <x:v>3992.4</x:v>
      </x:c>
      <x:c r="H28" s="2"/>
      <x:c r="I28" s="2"/>
      <x:c r="J28" s="2"/>
      <x:c r="K28" s="2"/>
      <x:c r="L28" s="2"/>
    </x:row>
    <x:row r="29" ht="23" customHeight="1">
      <x:c r="A29" s="2"/>
      <x:c r="B29" s="2"/>
      <x:c r="C29" s="2" t="str">
        <x:v>Closing inventories</x:v>
      </x:c>
      <x:c r="D29" s="2"/>
      <x:c r="E29" s="39" t="n">
        <x:f>'Sources &amp; Data'!E20/'Assumptions'!$E$6</x:f>
        <x:v>1695.01</x:v>
      </x:c>
      <x:c r="F29" s="39" t="n">
        <x:f>'Sources &amp; Data'!F20/'Assumptions'!$E$6</x:f>
        <x:v>3992.4</x:v>
      </x:c>
      <x:c r="G29" s="39" t="n">
        <x:f>'Sources &amp; Data'!G20/'Assumptions'!$E$6</x:f>
        <x:v>3836.52</x:v>
      </x:c>
      <x:c r="H29" s="2"/>
      <x:c r="I29" s="2"/>
      <x:c r="J29" s="2"/>
      <x:c r="K29" s="2"/>
      <x:c r="L29" s="2"/>
    </x:row>
    <x:row r="30" ht="23" customHeight="1">
      <x:c r="A30" s="2"/>
      <x:c r="B30" s="2"/>
      <x:c r="C30" s="2" t="str">
        <x:v>Average inventories</x:v>
      </x:c>
      <x:c r="D30" s="2"/>
      <x:c r="E30" s="6" t="n">
        <x:f>AVERAGE(E28:E29)</x:f>
        <x:v>1326.44</x:v>
      </x:c>
      <x:c r="F30" s="6" t="n">
        <x:f>AVERAGE(F28:F29)</x:f>
        <x:v>2843.705</x:v>
      </x:c>
      <x:c r="G30" s="6" t="n">
        <x:f>AVERAGE(G28:G29)</x:f>
        <x:v>3914.46</x:v>
      </x:c>
      <x:c r="H30" s="2"/>
      <x:c r="I30" s="2"/>
      <x:c r="J30" s="2"/>
      <x:c r="K30" s="2"/>
      <x:c r="L30" s="2"/>
    </x:row>
    <x:row r="31" ht="23" customHeight="1">
      <x:c r="A31" s="2"/>
      <x:c r="B31" s="2"/>
      <x:c r="C31" s="46" t="str">
        <x:v>Inventory days: materials proxy</x:v>
      </x:c>
      <x:c r="D31" s="46"/>
      <x:c r="E31" s="50" t="n">
        <x:f>E30/E10*'Assumptions'!$E$7</x:f>
        <x:v>30.185928629991366</x:v>
      </x:c>
      <x:c r="F31" s="50" t="n">
        <x:f>F30/F10*'Assumptions'!$E$7</x:f>
        <x:v>28.966526357679914</x:v>
      </x:c>
      <x:c r="G31" s="50" t="n">
        <x:f>G30/G10*'Assumptions'!$E$7</x:f>
        <x:v>31.556247540151574</x:v>
      </x:c>
      <x:c r="H31" s="2"/>
      <x:c r="I31" s="2"/>
      <x:c r="J31" s="2"/>
      <x:c r="K31" s="2"/>
      <x:c r="L31" s="2"/>
    </x:row>
    <x:row r="32" ht="23" customHeight="1">
      <x:c r="A32" s="2"/>
      <x:c r="B32" s="2"/>
      <x:c r="C32" s="2"/>
      <x:c r="D32" s="2"/>
      <x:c r="E32" s="5"/>
      <x:c r="F32" s="5"/>
      <x:c r="G32" s="5"/>
      <x:c r="H32" s="2"/>
      <x:c r="I32" s="2"/>
      <x:c r="J32" s="2"/>
      <x:c r="K32" s="2"/>
      <x:c r="L32" s="2"/>
    </x:row>
    <x:row r="33" ht="23" customHeight="1">
      <x:c r="A33" s="2"/>
      <x:c r="B33" s="2"/>
      <x:c r="C33" s="2" t="str">
        <x:v>Opening net trade receivables</x:v>
      </x:c>
      <x:c r="D33" s="2"/>
      <x:c r="E33" s="39" t="n">
        <x:f>'Sources &amp; Data'!D21/'Assumptions'!$E$6</x:f>
        <x:v>1715.45</x:v>
      </x:c>
      <x:c r="F33" s="39" t="n">
        <x:f>'Sources &amp; Data'!E21/'Assumptions'!$E$6</x:f>
        <x:v>2317.88</x:v>
      </x:c>
      <x:c r="G33" s="39" t="n">
        <x:f>'Sources &amp; Data'!F21/'Assumptions'!$E$6</x:f>
        <x:v>6965.45</x:v>
      </x:c>
      <x:c r="H33" s="2"/>
      <x:c r="I33" s="2"/>
      <x:c r="J33" s="2"/>
      <x:c r="K33" s="2"/>
      <x:c r="L33" s="2"/>
    </x:row>
    <x:row r="34" ht="23" customHeight="1">
      <x:c r="A34" s="2"/>
      <x:c r="B34" s="2"/>
      <x:c r="C34" s="2" t="str">
        <x:v>Closing net trade receivables</x:v>
      </x:c>
      <x:c r="D34" s="2"/>
      <x:c r="E34" s="39" t="n">
        <x:f>'Sources &amp; Data'!E21/'Assumptions'!$E$6</x:f>
        <x:v>2317.88</x:v>
      </x:c>
      <x:c r="F34" s="39" t="n">
        <x:f>'Sources &amp; Data'!F21/'Assumptions'!$E$6</x:f>
        <x:v>6965.45</x:v>
      </x:c>
      <x:c r="G34" s="39" t="n">
        <x:f>'Sources &amp; Data'!G21/'Assumptions'!$E$6</x:f>
        <x:v>6529.91</x:v>
      </x:c>
      <x:c r="H34" s="2"/>
      <x:c r="I34" s="2"/>
      <x:c r="J34" s="2"/>
      <x:c r="K34" s="2"/>
      <x:c r="L34" s="2"/>
    </x:row>
    <x:row r="35" ht="23" customHeight="1">
      <x:c r="A35" s="2"/>
      <x:c r="B35" s="2"/>
      <x:c r="C35" s="2" t="str">
        <x:v>Average net trade receivables</x:v>
      </x:c>
      <x:c r="D35" s="2"/>
      <x:c r="E35" s="6" t="n">
        <x:f>AVERAGE(E33:E34)</x:f>
        <x:v>2016.665</x:v>
      </x:c>
      <x:c r="F35" s="6" t="n">
        <x:f>AVERAGE(F33:F34)</x:f>
        <x:v>4641.665</x:v>
      </x:c>
      <x:c r="G35" s="6" t="n">
        <x:f>AVERAGE(G33:G34)</x:f>
        <x:v>6747.68</x:v>
      </x:c>
      <x:c r="H35" s="2"/>
      <x:c r="I35" s="2"/>
      <x:c r="J35" s="2"/>
      <x:c r="K35" s="2"/>
      <x:c r="L35" s="2"/>
    </x:row>
    <x:row r="36" ht="23" customHeight="1">
      <x:c r="A36" s="2"/>
      <x:c r="B36" s="2"/>
      <x:c r="C36" s="46" t="str">
        <x:v>Collection days: revenue proxy</x:v>
      </x:c>
      <x:c r="D36" s="46"/>
      <x:c r="E36" s="50" t="n">
        <x:f>E35/E7*'Assumptions'!$E$7</x:f>
        <x:v>41.60798630934548</x:v>
      </x:c>
      <x:c r="F36" s="50" t="n">
        <x:f>F35/F7*'Assumptions'!$E$7</x:f>
        <x:v>43.59761619244418</x:v>
      </x:c>
      <x:c r="G36" s="50" t="n">
        <x:f>G35/G7*'Assumptions'!$E$7</x:f>
        <x:v>50.39414971108673</x:v>
      </x:c>
      <x:c r="H36" s="2"/>
      <x:c r="I36" s="2"/>
      <x:c r="J36" s="2"/>
      <x:c r="K36" s="2"/>
      <x:c r="L36" s="2"/>
    </x:row>
    <x:row r="37" ht="23" customHeight="1">
      <x:c r="A37" s="2"/>
      <x:c r="B37" s="2"/>
      <x:c r="C37" s="2"/>
      <x:c r="D37" s="2"/>
      <x:c r="E37" s="5"/>
      <x:c r="F37" s="5"/>
      <x:c r="G37" s="5"/>
      <x:c r="H37" s="2"/>
      <x:c r="I37" s="2"/>
      <x:c r="J37" s="2"/>
      <x:c r="K37" s="2"/>
      <x:c r="L37" s="2"/>
    </x:row>
    <x:row r="38" ht="23" customHeight="1">
      <x:c r="A38" s="2"/>
      <x:c r="B38" s="2"/>
      <x:c r="C38" s="2" t="str">
        <x:v>Opening total trade payables</x:v>
      </x:c>
      <x:c r="D38" s="2"/>
      <x:c r="E38" s="39" t="n">
        <x:f>('Sources &amp; Data'!D22/'Assumptions'!$E$6)+('Sources &amp; Data'!D23/'Assumptions'!$E$6)+('Sources &amp; Data'!D24/'Assumptions'!$E$6)</x:f>
        <x:v>2451.88</x:v>
      </x:c>
      <x:c r="F38" s="39" t="n">
        <x:f>('Sources &amp; Data'!E22/'Assumptions'!$E$6)+('Sources &amp; Data'!E23/'Assumptions'!$E$6)+('Sources &amp; Data'!E24/'Assumptions'!$E$6)</x:f>
        <x:v>4065.21</x:v>
      </x:c>
      <x:c r="G38" s="39" t="n">
        <x:f>('Sources &amp; Data'!F22/'Assumptions'!$E$6)+('Sources &amp; Data'!F23/'Assumptions'!$E$6)+('Sources &amp; Data'!F24/'Assumptions'!$E$6)</x:f>
        <x:v>10883.65</x:v>
      </x:c>
      <x:c r="H38" s="2"/>
      <x:c r="I38" s="2"/>
      <x:c r="J38" s="2"/>
      <x:c r="K38" s="2"/>
      <x:c r="L38" s="2"/>
    </x:row>
    <x:row r="39" ht="23" customHeight="1">
      <x:c r="A39" s="2"/>
      <x:c r="B39" s="2"/>
      <x:c r="C39" s="2" t="str">
        <x:v>Closing total trade payables</x:v>
      </x:c>
      <x:c r="D39" s="2"/>
      <x:c r="E39" s="39" t="n">
        <x:f>('Sources &amp; Data'!E22/'Assumptions'!$E$6)+('Sources &amp; Data'!E23/'Assumptions'!$E$6)+('Sources &amp; Data'!E24/'Assumptions'!$E$6)</x:f>
        <x:v>4065.21</x:v>
      </x:c>
      <x:c r="F39" s="39" t="n">
        <x:f>('Sources &amp; Data'!F22/'Assumptions'!$E$6)+('Sources &amp; Data'!F23/'Assumptions'!$E$6)+('Sources &amp; Data'!F24/'Assumptions'!$E$6)</x:f>
        <x:v>10883.65</x:v>
      </x:c>
      <x:c r="G39" s="39" t="n">
        <x:f>('Sources &amp; Data'!G22/'Assumptions'!$E$6)+('Sources &amp; Data'!G23/'Assumptions'!$E$6)+('Sources &amp; Data'!G24/'Assumptions'!$E$6)</x:f>
        <x:v>10722.18</x:v>
      </x:c>
      <x:c r="H39" s="2"/>
      <x:c r="I39" s="2"/>
      <x:c r="J39" s="2"/>
      <x:c r="K39" s="2"/>
      <x:c r="L39" s="2"/>
    </x:row>
    <x:row r="40" ht="23" customHeight="1">
      <x:c r="A40" s="2"/>
      <x:c r="B40" s="2"/>
      <x:c r="C40" s="2" t="str">
        <x:v>Average total trade payables</x:v>
      </x:c>
      <x:c r="D40" s="2"/>
      <x:c r="E40" s="6" t="n">
        <x:f>AVERAGE(E38:E39)</x:f>
        <x:v>3258.545</x:v>
      </x:c>
      <x:c r="F40" s="6" t="n">
        <x:f>AVERAGE(F38:F39)</x:f>
        <x:v>7474.43</x:v>
      </x:c>
      <x:c r="G40" s="6" t="n">
        <x:f>AVERAGE(G38:G39)</x:f>
        <x:v>10802.915</x:v>
      </x:c>
      <x:c r="H40" s="2"/>
      <x:c r="I40" s="2"/>
      <x:c r="J40" s="2"/>
      <x:c r="K40" s="2"/>
      <x:c r="L40" s="2"/>
    </x:row>
    <x:row r="41" ht="23" customHeight="1">
      <x:c r="A41" s="2"/>
      <x:c r="B41" s="2"/>
      <x:c r="C41" s="2" t="str">
        <x:v>Raw material/component purchases</x:v>
      </x:c>
      <x:c r="D41" s="2"/>
      <x:c r="E41" s="39" t="n">
        <x:f>'Sources &amp; Data'!E25/'Assumptions'!$E$6</x:f>
        <x:v>16626.01</x:v>
      </x:c>
      <x:c r="F41" s="39" t="n">
        <x:f>'Sources &amp; Data'!F25/'Assumptions'!$E$6</x:f>
        <x:v>37331.99</x:v>
      </x:c>
      <x:c r="G41" s="39" t="n">
        <x:f>'Sources &amp; Data'!G25/'Assumptions'!$E$6</x:f>
        <x:v>45366.9</x:v>
      </x:c>
      <x:c r="H41" s="2"/>
      <x:c r="I41" s="2"/>
      <x:c r="J41" s="2"/>
      <x:c r="K41" s="2"/>
      <x:c r="L41" s="2"/>
    </x:row>
    <x:row r="42" ht="23" customHeight="1">
      <x:c r="A42" s="2"/>
      <x:c r="B42" s="2"/>
      <x:c r="C42" s="46" t="str">
        <x:v>Supplier days: purchases proxy</x:v>
      </x:c>
      <x:c r="D42" s="46"/>
      <x:c r="E42" s="50" t="n">
        <x:f>E40/E41*'Assumptions'!$E$7</x:f>
        <x:v>71.53664198445689</x:v>
      </x:c>
      <x:c r="F42" s="50" t="n">
        <x:f>F40/F41*'Assumptions'!$E$7</x:f>
        <x:v>73.07852996853369</x:v>
      </x:c>
      <x:c r="G42" s="50" t="n">
        <x:f>G40/G41*'Assumptions'!$E$7</x:f>
        <x:v>86.91499694711342</x:v>
      </x:c>
      <x:c r="H42" s="2"/>
      <x:c r="I42" s="2"/>
      <x:c r="J42" s="2"/>
      <x:c r="K42" s="2"/>
      <x:c r="L42" s="2"/>
    </x:row>
    <x:row r="43" ht="23" customHeight="1">
      <x:c r="A43" s="2"/>
      <x:c r="B43" s="2"/>
      <x:c r="C43" s="56" t="str">
        <x:v>Annual cash-cycle proxy (days)</x:v>
      </x:c>
      <x:c r="D43" s="56"/>
      <x:c r="E43" s="57" t="n">
        <x:f>E31+E36-E42</x:f>
        <x:v>0.2572729548799515</x:v>
      </x:c>
      <x:c r="F43" s="57" t="n">
        <x:f>F31+F36-F42</x:f>
        <x:v>-0.5143874184095978</x:v>
      </x:c>
      <x:c r="G43" s="57" t="n">
        <x:f>G31+G36-G42</x:f>
        <x:v>-4.964599695875108</x:v>
      </x:c>
      <x:c r="H43" s="2"/>
      <x:c r="I43" s="2"/>
      <x:c r="J43" s="2"/>
      <x:c r="K43" s="2"/>
      <x:c r="L43" s="2"/>
    </x:row>
    <x:row r="44" ht="23" customHeight="1">
      <x:c r="A44" s="2"/>
      <x:c r="B44" s="2"/>
      <x:c r="C44" s="2"/>
      <x:c r="D44" s="2"/>
      <x:c r="E44" s="5"/>
      <x:c r="F44" s="5"/>
      <x:c r="G44" s="5"/>
      <x:c r="H44" s="2"/>
      <x:c r="I44" s="2"/>
      <x:c r="J44" s="2"/>
      <x:c r="K44" s="2"/>
      <x:c r="L44" s="2"/>
    </x:row>
    <x:row r="45" ht="23" customHeight="1">
      <x:c r="A45" s="2"/>
      <x:c r="B45" s="2"/>
      <x:c r="C45" s="2"/>
      <x:c r="D45" s="2"/>
      <x:c r="E45" s="5"/>
      <x:c r="F45" s="5"/>
      <x:c r="G45" s="5"/>
      <x:c r="H45" s="2"/>
      <x:c r="I45" s="2"/>
      <x:c r="J45" s="2"/>
      <x:c r="K45" s="2"/>
      <x:c r="L45" s="2"/>
    </x:row>
    <x:row r="46" ht="23" customHeight="1">
      <x:c r="A46" s="2"/>
      <x:c r="B46" s="2"/>
      <x:c r="C46" s="2" t="str">
        <x:v>Net operating cash flow</x:v>
      </x:c>
      <x:c r="D46" s="2"/>
      <x:c r="E46" s="39" t="n">
        <x:f>'Sources &amp; Data'!E34/'Assumptions'!$E$6</x:f>
        <x:v>584.31</x:v>
      </x:c>
      <x:c r="F46" s="39" t="n">
        <x:f>'Sources &amp; Data'!F34/'Assumptions'!$E$6</x:f>
        <x:v>1149.75</x:v>
      </x:c>
      <x:c r="G46" s="39" t="n">
        <x:f>'Sources &amp; Data'!G34/'Assumptions'!$E$6</x:f>
        <x:v>1782.29</x:v>
      </x:c>
      <x:c r="H46" s="2"/>
      <x:c r="I46" s="2"/>
      <x:c r="J46" s="2"/>
      <x:c r="K46" s="2"/>
      <x:c r="L46" s="2"/>
    </x:row>
    <x:row r="47" ht="23" customHeight="1">
      <x:c r="A47" s="2"/>
      <x:c r="B47" s="2"/>
      <x:c r="C47" s="2" t="str">
        <x:v>Cash capex outflow</x:v>
      </x:c>
      <x:c r="D47" s="2"/>
      <x:c r="E47" s="39" t="n">
        <x:f>'Sources &amp; Data'!E35/'Assumptions'!$E$6</x:f>
        <x:v>584.43</x:v>
      </x:c>
      <x:c r="F47" s="39" t="n">
        <x:f>'Sources &amp; Data'!F35/'Assumptions'!$E$6</x:f>
        <x:v>939.35</x:v>
      </x:c>
      <x:c r="G47" s="39" t="n">
        <x:f>'Sources &amp; Data'!G35/'Assumptions'!$E$6</x:f>
        <x:v>1067.51</x:v>
      </x:c>
      <x:c r="H47" s="2"/>
      <x:c r="I47" s="2"/>
      <x:c r="J47" s="2"/>
      <x:c r="K47" s="2"/>
      <x:c r="L47" s="2"/>
    </x:row>
    <x:row r="48" ht="23" customHeight="1">
      <x:c r="A48" s="2"/>
      <x:c r="B48" s="2"/>
      <x:c r="C48" s="9" t="str">
        <x:v>Cash after cash capex</x:v>
      </x:c>
      <x:c r="D48" s="9"/>
      <x:c r="E48" s="11" t="n">
        <x:f>E46-E47</x:f>
        <x:v>-0.12000000000000455</x:v>
      </x:c>
      <x:c r="F48" s="11" t="n">
        <x:f>F46-F47</x:f>
        <x:v>210.39999999999998</x:v>
      </x:c>
      <x:c r="G48" s="11" t="n">
        <x:f>G46-G47</x:f>
        <x:v>714.78</x:v>
      </x:c>
      <x:c r="H48" s="2"/>
      <x:c r="I48" s="2"/>
      <x:c r="J48" s="2"/>
      <x:c r="K48" s="2"/>
      <x:c r="L48" s="2"/>
    </x:row>
    <x:row r="49" ht="23" customHeight="1">
      <x:c r="A49" s="2"/>
      <x:c r="B49" s="2"/>
      <x:c r="C49" s="2" t="str">
        <x:v>Cash flow before WC changes</x:v>
      </x:c>
      <x:c r="D49" s="2"/>
      <x:c r="E49" s="39" t="n">
        <x:f>'Sources &amp; Data'!E36/'Assumptions'!$E$6</x:f>
        <x:v>714.91</x:v>
      </x:c>
      <x:c r="F49" s="39" t="n">
        <x:f>'Sources &amp; Data'!F36/'Assumptions'!$E$6</x:f>
        <x:v>1607.33</x:v>
      </x:c>
      <x:c r="G49" s="39" t="n">
        <x:f>'Sources &amp; Data'!G36/'Assumptions'!$E$6</x:f>
        <x:v>1973.56</x:v>
      </x:c>
      <x:c r="H49" s="2"/>
      <x:c r="I49" s="2"/>
      <x:c r="J49" s="2"/>
      <x:c r="K49" s="2"/>
      <x:c r="L49" s="2"/>
    </x:row>
    <x:row r="50" ht="23" customHeight="1">
      <x:c r="A50" s="2"/>
      <x:c r="B50" s="2"/>
      <x:c r="C50" s="9" t="str">
        <x:v>Total WC cash-flow effect</x:v>
      </x:c>
      <x:c r="D50" s="9"/>
      <x:c r="E50" s="11" t="n">
        <x:f>E57-E49</x:f>
        <x:v>-8.809999999999945</x:v>
      </x:c>
      <x:c r="F50" s="11" t="n">
        <x:f>F57-F49</x:f>
        <x:v>-181.6199999999999</x:v>
      </x:c>
      <x:c r="G50" s="11" t="n">
        <x:f>G57-G49</x:f>
        <x:v>223.32999999999993</x:v>
      </x:c>
      <x:c r="H50" s="2"/>
      <x:c r="I50" s="2"/>
      <x:c r="J50" s="2"/>
      <x:c r="K50" s="2"/>
      <x:c r="L50" s="2"/>
    </x:row>
    <x:row r="51" ht="23" customHeight="1">
      <x:c r="A51" s="2"/>
      <x:c r="B51" s="2"/>
      <x:c r="C51" s="2" t="str">
        <x:v>Inventory cash-flow effect</x:v>
      </x:c>
      <x:c r="D51" s="2"/>
      <x:c r="E51" s="39" t="n">
        <x:f>'Sources &amp; Data'!E39/'Assumptions'!$E$6</x:f>
        <x:v>-737.14</x:v>
      </x:c>
      <x:c r="F51" s="39" t="n">
        <x:f>'Sources &amp; Data'!F39/'Assumptions'!$E$6</x:f>
        <x:v>-1899.3</x:v>
      </x:c>
      <x:c r="G51" s="39" t="n">
        <x:f>'Sources &amp; Data'!G39/'Assumptions'!$E$6</x:f>
        <x:v>195.99</x:v>
      </x:c>
      <x:c r="H51" s="2"/>
      <x:c r="I51" s="2"/>
      <x:c r="J51" s="2"/>
      <x:c r="K51" s="2"/>
      <x:c r="L51" s="2"/>
    </x:row>
    <x:row r="52" ht="23" customHeight="1">
      <x:c r="A52" s="2"/>
      <x:c r="B52" s="2"/>
      <x:c r="C52" s="2" t="str">
        <x:v>Receivables cash-flow effect</x:v>
      </x:c>
      <x:c r="D52" s="2"/>
      <x:c r="E52" s="39" t="n">
        <x:f>'Sources &amp; Data'!E40/'Assumptions'!$E$6</x:f>
        <x:v>-603.22</x:v>
      </x:c>
      <x:c r="F52" s="39" t="n">
        <x:f>'Sources &amp; Data'!F40/'Assumptions'!$E$6</x:f>
        <x:v>-3049.48</x:v>
      </x:c>
      <x:c r="G52" s="39" t="n">
        <x:f>'Sources &amp; Data'!G40/'Assumptions'!$E$6</x:f>
        <x:v>575.87</x:v>
      </x:c>
      <x:c r="H52" s="2"/>
      <x:c r="I52" s="2"/>
      <x:c r="J52" s="2"/>
      <x:c r="K52" s="2"/>
      <x:c r="L52" s="2"/>
    </x:row>
    <x:row r="53" ht="23" customHeight="1">
      <x:c r="A53" s="2"/>
      <x:c r="B53" s="2"/>
      <x:c r="C53" s="2" t="str">
        <x:v>Payables cash-flow effect</x:v>
      </x:c>
      <x:c r="D53" s="2"/>
      <x:c r="E53" s="39" t="n">
        <x:f>('Sources &amp; Data'!E41/'Assumptions'!$E$6)+('Sources &amp; Data'!E42/'Assumptions'!$E$6)</x:f>
        <x:v>1626.98</x:v>
      </x:c>
      <x:c r="F53" s="39" t="n">
        <x:f>('Sources &amp; Data'!F41/'Assumptions'!$E$6)+('Sources &amp; Data'!F42/'Assumptions'!$E$6)</x:f>
        <x:v>5407.75</x:v>
      </x:c>
      <x:c r="G53" s="39" t="n">
        <x:f>('Sources &amp; Data'!G41/'Assumptions'!$E$6)+('Sources &amp; Data'!G42/'Assumptions'!$E$6)</x:f>
        <x:v>-717.32</x:v>
      </x:c>
      <x:c r="H53" s="2"/>
      <x:c r="I53" s="2"/>
      <x:c r="J53" s="2"/>
      <x:c r="K53" s="2"/>
      <x:c r="L53" s="2"/>
    </x:row>
    <x:row r="54" ht="23" customHeight="1">
      <x:c r="A54" s="2"/>
      <x:c r="B54" s="2"/>
      <x:c r="C54" s="2" t="str">
        <x:v>Trade WC cash-flow effect</x:v>
      </x:c>
      <x:c r="D54" s="2"/>
      <x:c r="E54" s="6" t="n">
        <x:f>SUM(E51:E53)</x:f>
        <x:v>286.6199999999999</x:v>
      </x:c>
      <x:c r="F54" s="6" t="n">
        <x:f>SUM(F51:F53)</x:f>
        <x:v>458.97000000000025</x:v>
      </x:c>
      <x:c r="G54" s="6" t="n">
        <x:f>SUM(G51:G53)</x:f>
        <x:v>54.539999999999964</x:v>
      </x:c>
      <x:c r="H54" s="2"/>
      <x:c r="I54" s="2"/>
      <x:c r="J54" s="2"/>
      <x:c r="K54" s="2"/>
      <x:c r="L54" s="2"/>
    </x:row>
    <x:row r="55" ht="23" customHeight="1">
      <x:c r="A55" s="2"/>
      <x:c r="B55" s="2"/>
      <x:c r="C55" s="2" t="str">
        <x:v>Other WC cash-flow effect</x:v>
      </x:c>
      <x:c r="D55" s="2"/>
      <x:c r="E55" s="6" t="n">
        <x:f>E50-E54</x:f>
        <x:v>-295.42999999999984</x:v>
      </x:c>
      <x:c r="F55" s="6" t="n">
        <x:f>F50-F54</x:f>
        <x:v>-640.5900000000001</x:v>
      </x:c>
      <x:c r="G55" s="6" t="n">
        <x:f>G50-G54</x:f>
        <x:v>168.78999999999996</x:v>
      </x:c>
      <x:c r="H55" s="2"/>
      <x:c r="I55" s="2"/>
      <x:c r="J55" s="2"/>
      <x:c r="K55" s="2"/>
      <x:c r="L55" s="2"/>
    </x:row>
    <x:row r="56" ht="23" customHeight="1">
      <x:c r="A56" s="2"/>
      <x:c r="B56" s="2"/>
      <x:c r="C56" s="2" t="str">
        <x:v>Cash tax paid</x:v>
      </x:c>
      <x:c r="D56" s="2"/>
      <x:c r="E56" s="39" t="n">
        <x:f>'Sources &amp; Data'!E38/'Assumptions'!$E$6</x:f>
        <x:v>121.79</x:v>
      </x:c>
      <x:c r="F56" s="39" t="n">
        <x:f>'Sources &amp; Data'!F38/'Assumptions'!$E$6</x:f>
        <x:v>275.96</x:v>
      </x:c>
      <x:c r="G56" s="39" t="n">
        <x:f>'Sources &amp; Data'!G38/'Assumptions'!$E$6</x:f>
        <x:v>414.6</x:v>
      </x:c>
      <x:c r="H56" s="2"/>
      <x:c r="I56" s="2"/>
      <x:c r="J56" s="2"/>
      <x:c r="K56" s="2"/>
      <x:c r="L56" s="2"/>
    </x:row>
    <x:row r="57" ht="23" customHeight="1">
      <x:c r="A57" s="2"/>
      <x:c r="B57" s="2"/>
      <x:c r="C57" s="2" t="str">
        <x:v>Cash generated before tax</x:v>
      </x:c>
      <x:c r="D57" s="2"/>
      <x:c r="E57" s="39" t="n">
        <x:f>'Sources &amp; Data'!E37/'Assumptions'!$E$6</x:f>
        <x:v>706.1</x:v>
      </x:c>
      <x:c r="F57" s="39" t="n">
        <x:f>'Sources &amp; Data'!F37/'Assumptions'!$E$6</x:f>
        <x:v>1425.71</x:v>
      </x:c>
      <x:c r="G57" s="39" t="n">
        <x:f>'Sources &amp; Data'!G37/'Assumptions'!$E$6</x:f>
        <x:v>2196.89</x:v>
      </x:c>
      <x:c r="H57" s="2"/>
      <x:c r="I57" s="2"/>
      <x:c r="J57" s="2"/>
      <x:c r="K57" s="2"/>
      <x:c r="L57" s="2"/>
    </x:row>
    <x:row r="58" ht="23" customHeight="1">
      <x:c r="A58" s="2"/>
      <x:c r="B58" s="2"/>
      <x:c r="C58" s="2"/>
      <x:c r="D58" s="2"/>
      <x:c r="E58" s="5"/>
      <x:c r="F58" s="5"/>
      <x:c r="G58" s="5"/>
      <x:c r="H58" s="2"/>
      <x:c r="I58" s="2"/>
      <x:c r="J58" s="2"/>
      <x:c r="K58" s="2"/>
      <x:c r="L58" s="2"/>
    </x:row>
    <x:row r="59" ht="23" customHeight="1">
      <x:c r="A59" s="2"/>
      <x:c r="B59" s="2"/>
      <x:c r="C59" s="2"/>
      <x:c r="D59" s="2"/>
      <x:c r="E59" s="5"/>
      <x:c r="F59" s="5"/>
      <x:c r="G59" s="5"/>
      <x:c r="H59" s="2"/>
      <x:c r="I59" s="2"/>
      <x:c r="J59" s="2"/>
      <x:c r="K59" s="2"/>
      <x:c r="L59" s="2"/>
    </x:row>
    <x:row r="60" ht="23" customHeight="1">
      <x:c r="A60" s="2"/>
      <x:c r="B60" s="2"/>
      <x:c r="C60" s="2" t="str">
        <x:v>Reported cash and cash equivalents</x:v>
      </x:c>
      <x:c r="D60" s="2"/>
      <x:c r="E60" s="39" t="n">
        <x:f>'Sources &amp; Data'!E26/'Assumptions'!$E$6</x:f>
        <x:v>200.48</x:v>
      </x:c>
      <x:c r="F60" s="39" t="n">
        <x:f>'Sources &amp; Data'!F26/'Assumptions'!$E$6</x:f>
        <x:v>230.85</x:v>
      </x:c>
      <x:c r="G60" s="39" t="n">
        <x:f>'Sources &amp; Data'!G26/'Assumptions'!$E$6</x:f>
        <x:v>767.43</x:v>
      </x:c>
      <x:c r="H60" s="2"/>
      <x:c r="I60" s="2"/>
      <x:c r="J60" s="2"/>
      <x:c r="K60" s="2"/>
      <x:c r="L60" s="2"/>
    </x:row>
    <x:row r="61" ht="23" customHeight="1">
      <x:c r="A61" s="2"/>
      <x:c r="B61" s="2"/>
      <x:c r="C61" s="2" t="str">
        <x:v>Borrowings excluding leases</x:v>
      </x:c>
      <x:c r="D61" s="2"/>
      <x:c r="E61" s="39" t="n">
        <x:f>('Sources &amp; Data'!E28/'Assumptions'!$E$6)+('Sources &amp; Data'!E27/'Assumptions'!$E$6)</x:f>
        <x:v>155.03</x:v>
      </x:c>
      <x:c r="F61" s="39" t="n">
        <x:f>('Sources &amp; Data'!F28/'Assumptions'!$E$6)+('Sources &amp; Data'!F27/'Assumptions'!$E$6)</x:f>
        <x:v>202.28</x:v>
      </x:c>
      <x:c r="G61" s="39" t="n">
        <x:f>('Sources &amp; Data'!G28/'Assumptions'!$E$6)+('Sources &amp; Data'!G27/'Assumptions'!$E$6)</x:f>
        <x:v>467.5</x:v>
      </x:c>
      <x:c r="H61" s="2"/>
      <x:c r="I61" s="2"/>
      <x:c r="J61" s="2"/>
      <x:c r="K61" s="2"/>
      <x:c r="L61" s="2"/>
    </x:row>
    <x:row r="62" ht="23" customHeight="1">
      <x:c r="A62" s="2"/>
      <x:c r="B62" s="2"/>
      <x:c r="C62" s="9" t="str">
        <x:v>Cash less borrowings (excl. leases)</x:v>
      </x:c>
      <x:c r="D62" s="9"/>
      <x:c r="E62" s="11" t="n">
        <x:f>E60-E61</x:f>
        <x:v>45.44999999999999</x:v>
      </x:c>
      <x:c r="F62" s="11" t="n">
        <x:f>F60-F61</x:f>
        <x:v>28.569999999999993</x:v>
      </x:c>
      <x:c r="G62" s="11" t="n">
        <x:f>G60-G61</x:f>
        <x:v>299.92999999999995</x:v>
      </x:c>
      <x:c r="H62" s="2"/>
      <x:c r="I62" s="2"/>
      <x:c r="J62" s="2"/>
      <x:c r="K62" s="2"/>
      <x:c r="L62" s="2"/>
    </x:row>
    <x:row r="63" ht="23" customHeight="1">
      <x:c r="A63" s="2"/>
      <x:c r="B63" s="2"/>
      <x:c r="C63" s="46" t="str">
        <x:v>Current ratio</x:v>
      </x:c>
      <x:c r="D63" s="46"/>
      <x:c r="E63" s="52" t="n">
        <x:f>('Sources &amp; Data'!E29/'Assumptions'!$E$6)/('Sources &amp; Data'!E30/'Assumptions'!$E$6)</x:f>
        <x:v>1.0221192741598015</x:v>
      </x:c>
      <x:c r="F63" s="52" t="n">
        <x:f>('Sources &amp; Data'!F29/'Assumptions'!$E$6)/('Sources &amp; Data'!F30/'Assumptions'!$E$6)</x:f>
        <x:v>1.039612748740814</x:v>
      </x:c>
      <x:c r="G63" s="52" t="n">
        <x:f>('Sources &amp; Data'!G29/'Assumptions'!$E$6)/('Sources &amp; Data'!G30/'Assumptions'!$E$6)</x:f>
        <x:v>1.0643472467552717</x:v>
      </x:c>
      <x:c r="H63" s="2"/>
      <x:c r="I63" s="2"/>
      <x:c r="J63" s="2"/>
      <x:c r="K63" s="2"/>
      <x:c r="L63" s="2"/>
    </x:row>
    <x:row r="64" ht="23" customHeight="1">
      <x:c r="A64" s="2"/>
      <x:c r="B64" s="2"/>
      <x:c r="C64" s="9" t="str">
        <x:v>Closing trade working capital</x:v>
      </x:c>
      <x:c r="D64" s="9"/>
      <x:c r="E64" s="11" t="n">
        <x:f>E29+E34-E39</x:f>
        <x:v>-52.31999999999971</x:v>
      </x:c>
      <x:c r="F64" s="11" t="n">
        <x:f>F29+F34-F39</x:f>
        <x:v>74.20000000000073</x:v>
      </x:c>
      <x:c r="G64" s="11" t="n">
        <x:f>G29+G34-G39</x:f>
        <x:v>-355.75</x:v>
      </x:c>
      <x:c r="H64" s="2"/>
      <x:c r="I64" s="2"/>
      <x:c r="J64" s="2"/>
      <x:c r="K64" s="2"/>
      <x:c r="L64" s="2"/>
    </x:row>
    <x:row r="65" ht="23" customHeight="1">
      <x:c r="A65" s="2"/>
      <x:c r="B65" s="2"/>
      <x:c r="C65" s="2"/>
      <x:c r="D65" s="2"/>
      <x:c r="E65" s="5"/>
      <x:c r="F65" s="5"/>
      <x:c r="G65" s="5"/>
      <x:c r="H65" s="2"/>
      <x:c r="I65" s="2"/>
      <x:c r="J65" s="2"/>
      <x:c r="K65" s="2"/>
      <x:c r="L65" s="2"/>
    </x:row>
    <x:row r="66" ht="23" customHeight="1">
      <x:c r="A66" s="2"/>
      <x:c r="B66" s="2"/>
      <x:c r="C66" s="2"/>
      <x:c r="D66" s="2"/>
      <x:c r="E66" s="5"/>
      <x:c r="F66" s="5"/>
      <x:c r="G66" s="5"/>
      <x:c r="H66" s="2"/>
      <x:c r="I66" s="2"/>
      <x:c r="J66" s="2"/>
      <x:c r="K66" s="2"/>
      <x:c r="L66" s="2"/>
    </x:row>
    <x:row r="67" ht="38" customHeight="1">
      <x:c r="A67" s="2"/>
      <x:c r="B67" s="2"/>
      <x:c r="C67" s="17" t="str">
        <x:v>Operating EBITDA excludes all other income, finance costs, depreciation, joint-venture profit and exceptional gains. It differs from company-reported EBITDA.</x:v>
      </x:c>
      <x:c r="D67" s="17"/>
      <x:c r="E67" s="18"/>
      <x:c r="F67" s="18"/>
      <x:c r="G67" s="18"/>
      <x:c r="H67" s="17"/>
      <x:c r="I67" s="17"/>
      <x:c r="J67" s="17"/>
      <x:c r="K67" s="17"/>
      <x:c r="L67" s="2"/>
    </x:row>
    <x:row r="68" ht="23" customHeight="1">
      <x:c r="A68" s="2"/>
      <x:c r="B68" s="2"/>
      <x:c r="C68" s="2"/>
      <x:c r="D68" s="2"/>
      <x:c r="E68" s="5"/>
      <x:c r="F68" s="5"/>
      <x:c r="G68" s="5"/>
      <x:c r="H68" s="2"/>
      <x:c r="I68" s="2"/>
      <x:c r="J68" s="2"/>
      <x:c r="K68" s="2"/>
      <x:c r="L68" s="2"/>
    </x:row>
    <x:row r="69" ht="38" customHeight="1">
      <x:c r="A69" s="2"/>
      <x:c r="B69" s="2"/>
      <x:c r="C69" s="17" t="str">
        <x:v>Days use opening/closing averages and 365 days. Inventory uses materials plus inventory-change expense. Collection days use revenue, not disclosed credit sales.</x:v>
      </x:c>
      <x:c r="D69" s="17"/>
      <x:c r="E69" s="18"/>
      <x:c r="F69" s="18"/>
      <x:c r="G69" s="18"/>
      <x:c r="H69" s="17"/>
      <x:c r="I69" s="17"/>
      <x:c r="J69" s="17"/>
      <x:c r="K69" s="17"/>
      <x:c r="L69" s="2"/>
    </x:row>
    <x:row r="70" ht="23" customHeight="1">
      <x:c r="A70" s="2"/>
      <x:c r="B70" s="2"/>
      <x:c r="C70" s="2"/>
      <x:c r="D70" s="2"/>
      <x:c r="E70" s="5"/>
      <x:c r="F70" s="5"/>
      <x:c r="G70" s="5"/>
      <x:c r="H70" s="2"/>
      <x:c r="I70" s="2"/>
      <x:c r="J70" s="2"/>
      <x:c r="K70" s="2"/>
      <x:c r="L70" s="2"/>
    </x:row>
    <x:row r="71" ht="38" customHeight="1">
      <x:c r="C71" s="59" t="str">
        <x:v>Supplier days use raw material/component purchases. The annual proxy differs from management's quarterly working-capital days. Acquisition changes distort annual averages.</x:v>
      </x:c>
      <x:c r="D71" s="59"/>
      <x:c r="E71" s="59"/>
      <x:c r="F71" s="59"/>
      <x:c r="G71" s="59"/>
      <x:c r="H71" s="59"/>
      <x:c r="I71" s="59"/>
      <x:c r="J71" s="59"/>
      <x:c r="K71" s="59"/>
    </x:row>
  </x:sheetData>
  <x:mergeCells>
    <x:mergeCell ref="C2:K2"/>
    <x:mergeCell ref="E4:G4"/>
    <x:mergeCell ref="C67:K67"/>
    <x:mergeCell ref="C69:K69"/>
    <x:mergeCell ref="C71:K7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3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2"/>
      <x:c r="B2" s="2"/>
      <x:c r="C2" s="3" t="str">
        <x:v>Cash Scenarios</x:v>
      </x:c>
      <x:c r="D2" s="3"/>
      <x:c r="E2" s="3"/>
      <x:c r="F2" s="3"/>
      <x:c r="G2" s="3"/>
      <x:c r="H2" s="3"/>
      <x:c r="I2" s="3"/>
      <x:c r="J2" s="3"/>
      <x:c r="K2" s="3"/>
      <x:c r="L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2"/>
    </x:row>
    <x:row r="4" ht="23" customHeight="1">
      <x:c r="A4" s="2"/>
      <x:c r="B4" s="2"/>
      <x:c r="C4" s="2" t="str">
        <x:v>Case selected</x:v>
      </x:c>
      <x:c r="D4" s="2"/>
      <x:c r="E4" s="36" t="str">
        <x:f>'Assumptions'!E8</x:f>
        <x:v>Earlier supplier payment</x:v>
      </x:c>
      <x:c r="F4" s="37"/>
      <x:c r="G4" s="38"/>
      <x:c r="H4" s="2"/>
      <x:c r="I4" s="2"/>
      <x:c r="J4" s="2"/>
      <x:c r="K4" s="2"/>
      <x:c r="L4" s="2"/>
    </x:row>
    <x:row r="5" ht="23" customHeight="1">
      <x:c r="A5" s="2"/>
      <x:c r="B5" s="2"/>
      <x:c r="C5" s="2"/>
      <x:c r="D5" s="2"/>
      <x:c r="E5" s="5"/>
      <x:c r="F5" s="5"/>
      <x:c r="G5" s="5"/>
      <x:c r="H5" s="2"/>
      <x:c r="I5" s="2"/>
      <x:c r="J5" s="2"/>
      <x:c r="K5" s="2"/>
      <x:c r="L5" s="2"/>
    </x:row>
    <x:row r="6" ht="23" customHeight="1">
      <x:c r="A6" s="2"/>
      <x:c r="B6" s="2"/>
      <x:c r="C6" s="2"/>
      <x:c r="D6" s="2"/>
      <x:c r="E6" s="5"/>
      <x:c r="F6" s="5"/>
      <x:c r="G6" s="5"/>
      <x:c r="H6" s="2"/>
      <x:c r="I6" s="2"/>
      <x:c r="J6" s="2"/>
      <x:c r="K6" s="2"/>
      <x:c r="L6" s="2"/>
    </x:row>
    <x:row r="7" ht="23" customHeight="1">
      <x:c r="A7" s="2"/>
      <x:c r="B7" s="2"/>
      <x:c r="C7" s="2" t="str">
        <x:v>FY2026 revenue (INR cr)</x:v>
      </x:c>
      <x:c r="D7" s="2"/>
      <x:c r="E7" s="39" t="n">
        <x:f>'Performance'!G7</x:f>
        <x:v>48872.8</x:v>
      </x:c>
      <x:c r="F7" s="5"/>
      <x:c r="G7" s="5"/>
      <x:c r="H7" s="2"/>
      <x:c r="I7" s="2"/>
      <x:c r="J7" s="2"/>
      <x:c r="K7" s="2"/>
      <x:c r="L7" s="2"/>
    </x:row>
    <x:row r="8" ht="23" customHeight="1">
      <x:c r="A8" s="2"/>
      <x:c r="B8" s="2"/>
      <x:c r="C8" s="2" t="str">
        <x:v>FY2026 materials cost proxy</x:v>
      </x:c>
      <x:c r="D8" s="2"/>
      <x:c r="E8" s="39" t="n">
        <x:f>'Performance'!G10</x:f>
        <x:v>45277.18</x:v>
      </x:c>
      <x:c r="F8" s="5"/>
      <x:c r="G8" s="5"/>
      <x:c r="H8" s="2"/>
      <x:c r="I8" s="2"/>
      <x:c r="J8" s="2"/>
      <x:c r="K8" s="2"/>
      <x:c r="L8" s="2"/>
    </x:row>
    <x:row r="9" ht="23" customHeight="1">
      <x:c r="A9" s="2"/>
      <x:c r="B9" s="2"/>
      <x:c r="C9" s="2" t="str">
        <x:v>FY2026 purchases</x:v>
      </x:c>
      <x:c r="D9" s="2"/>
      <x:c r="E9" s="39" t="n">
        <x:f>'Performance'!G41</x:f>
        <x:v>45366.9</x:v>
      </x:c>
      <x:c r="F9" s="5"/>
      <x:c r="G9" s="5"/>
      <x:c r="H9" s="2"/>
      <x:c r="I9" s="2"/>
      <x:c r="J9" s="2"/>
      <x:c r="K9" s="2"/>
      <x:c r="L9" s="2"/>
    </x:row>
    <x:row r="10" ht="23" customHeight="1">
      <x:c r="A10" s="2"/>
      <x:c r="B10" s="2"/>
      <x:c r="C10" s="2" t="str">
        <x:v>Days per year</x:v>
      </x:c>
      <x:c r="D10" s="2"/>
      <x:c r="E10" s="39" t="n">
        <x:f>'Assumptions'!E7</x:f>
        <x:v>365</x:v>
      </x:c>
      <x:c r="F10" s="5"/>
      <x:c r="G10" s="5"/>
      <x:c r="H10" s="2"/>
      <x:c r="I10" s="2"/>
      <x:c r="J10" s="2"/>
      <x:c r="K10" s="2"/>
      <x:c r="L10" s="2"/>
    </x:row>
    <x:row r="11" ht="23" customHeight="1">
      <x:c r="A11" s="2"/>
      <x:c r="B11" s="2"/>
      <x:c r="C11" s="2"/>
      <x:c r="D11" s="2"/>
      <x:c r="E11" s="5"/>
      <x:c r="F11" s="5"/>
      <x:c r="G11" s="5"/>
      <x:c r="H11" s="2"/>
      <x:c r="I11" s="2"/>
      <x:c r="J11" s="2"/>
      <x:c r="K11" s="2"/>
      <x:c r="L11" s="2"/>
    </x:row>
    <x:row r="12" ht="23" customHeight="1">
      <x:c r="A12" s="2"/>
      <x:c r="B12" s="2"/>
      <x:c r="C12" s="2"/>
      <x:c r="D12" s="2"/>
      <x:c r="E12" s="5"/>
      <x:c r="F12" s="5"/>
      <x:c r="G12" s="5"/>
      <x:c r="H12" s="2"/>
      <x:c r="I12" s="2"/>
      <x:c r="J12" s="2"/>
      <x:c r="K12" s="2"/>
      <x:c r="L12" s="2"/>
    </x:row>
    <x:row r="13" ht="23" customHeight="1">
      <x:c r="A13" s="2"/>
      <x:c r="B13" s="2"/>
      <x:c r="C13" s="2" t="str">
        <x:v>Collection delay (days)</x:v>
      </x:c>
      <x:c r="D13" s="2"/>
      <x:c r="E13" s="39" t="n">
        <x:f>'Assumptions'!E10</x:f>
        <x:v>0</x:v>
      </x:c>
      <x:c r="F13" s="5"/>
      <x:c r="G13" s="5"/>
      <x:c r="H13" s="2"/>
      <x:c r="I13" s="2"/>
      <x:c r="J13" s="2"/>
      <x:c r="K13" s="2"/>
      <x:c r="L13" s="2"/>
    </x:row>
    <x:row r="14" ht="23" customHeight="1">
      <x:c r="A14" s="2"/>
      <x:c r="B14" s="2"/>
      <x:c r="C14" s="2" t="str">
        <x:v>Additional inventory (days)</x:v>
      </x:c>
      <x:c r="D14" s="2"/>
      <x:c r="E14" s="39" t="n">
        <x:f>'Assumptions'!E17</x:f>
        <x:v>0</x:v>
      </x:c>
      <x:c r="F14" s="5"/>
      <x:c r="G14" s="5"/>
      <x:c r="H14" s="2"/>
      <x:c r="I14" s="2"/>
      <x:c r="J14" s="2"/>
      <x:c r="K14" s="2"/>
      <x:c r="L14" s="2"/>
    </x:row>
    <x:row r="15" ht="23" customHeight="1">
      <x:c r="A15" s="2"/>
      <x:c r="B15" s="2"/>
      <x:c r="C15" s="2" t="str">
        <x:v>Supplier days reduction (days)</x:v>
      </x:c>
      <x:c r="D15" s="2"/>
      <x:c r="E15" s="39" t="n">
        <x:f>'Assumptions'!E24</x:f>
        <x:v>5</x:v>
      </x:c>
      <x:c r="F15" s="5"/>
      <x:c r="G15" s="5"/>
      <x:c r="H15" s="2"/>
      <x:c r="I15" s="2"/>
      <x:c r="J15" s="2"/>
      <x:c r="K15" s="2"/>
      <x:c r="L15" s="2"/>
    </x:row>
    <x:row r="16" ht="23" customHeight="1">
      <x:c r="A16" s="2"/>
      <x:c r="B16" s="2"/>
      <x:c r="C16" s="2"/>
      <x:c r="D16" s="2"/>
      <x:c r="E16" s="5"/>
      <x:c r="F16" s="5"/>
      <x:c r="G16" s="5"/>
      <x:c r="H16" s="2"/>
      <x:c r="I16" s="2"/>
      <x:c r="J16" s="2"/>
      <x:c r="K16" s="2"/>
      <x:c r="L16" s="2"/>
    </x:row>
    <x:row r="17" ht="23" customHeight="1">
      <x:c r="A17" s="2"/>
      <x:c r="B17" s="2"/>
      <x:c r="C17" s="2"/>
      <x:c r="D17" s="2"/>
      <x:c r="E17" s="5"/>
      <x:c r="F17" s="5"/>
      <x:c r="G17" s="5"/>
      <x:c r="H17" s="2"/>
      <x:c r="I17" s="2"/>
      <x:c r="J17" s="2"/>
      <x:c r="K17" s="2"/>
      <x:c r="L17" s="2"/>
    </x:row>
    <x:row r="18" ht="23" customHeight="1">
      <x:c r="A18" s="2"/>
      <x:c r="B18" s="2"/>
      <x:c r="C18" s="2" t="str">
        <x:v>Additional cash in receivables</x:v>
      </x:c>
      <x:c r="D18" s="2"/>
      <x:c r="E18" s="6" t="n">
        <x:f>E7/E10*E13</x:f>
        <x:v>0</x:v>
      </x:c>
      <x:c r="F18" s="5"/>
      <x:c r="G18" s="5"/>
      <x:c r="H18" s="2"/>
      <x:c r="I18" s="2"/>
      <x:c r="J18" s="2"/>
      <x:c r="K18" s="2"/>
      <x:c r="L18" s="2"/>
    </x:row>
    <x:row r="19" ht="23" customHeight="1">
      <x:c r="A19" s="2"/>
      <x:c r="B19" s="2"/>
      <x:c r="C19" s="2" t="str">
        <x:v>Additional cash in inventory</x:v>
      </x:c>
      <x:c r="D19" s="2"/>
      <x:c r="E19" s="6" t="n">
        <x:f>E8/E10*E14</x:f>
        <x:v>0</x:v>
      </x:c>
      <x:c r="F19" s="5"/>
      <x:c r="G19" s="5"/>
      <x:c r="H19" s="2"/>
      <x:c r="I19" s="2"/>
      <x:c r="J19" s="2"/>
      <x:c r="K19" s="2"/>
      <x:c r="L19" s="2"/>
    </x:row>
    <x:row r="20" ht="23" customHeight="1">
      <x:c r="A20" s="2"/>
      <x:c r="B20" s="2"/>
      <x:c r="C20" s="2" t="str">
        <x:v>Cash for earlier supplier payments</x:v>
      </x:c>
      <x:c r="D20" s="2"/>
      <x:c r="E20" s="6" t="n">
        <x:f>E9/E10*E15</x:f>
        <x:v>621.4643835616439</x:v>
      </x:c>
      <x:c r="F20" s="5"/>
      <x:c r="G20" s="5"/>
      <x:c r="H20" s="2"/>
      <x:c r="I20" s="2"/>
      <x:c r="J20" s="2"/>
      <x:c r="K20" s="2"/>
      <x:c r="L20" s="2"/>
    </x:row>
    <x:row r="21" ht="23" customHeight="1">
      <x:c r="A21" s="2"/>
      <x:c r="B21" s="2"/>
      <x:c r="C21" s="9" t="str">
        <x:v>Total additional cash requirement</x:v>
      </x:c>
      <x:c r="D21" s="9"/>
      <x:c r="E21" s="11" t="n">
        <x:f>SUM(E18:E20)</x:f>
        <x:v>621.4643835616439</x:v>
      </x:c>
      <x:c r="F21" s="10"/>
      <x:c r="G21" s="10"/>
      <x:c r="H21" s="2"/>
      <x:c r="I21" s="2"/>
      <x:c r="J21" s="2"/>
      <x:c r="K21" s="2"/>
      <x:c r="L21" s="2"/>
    </x:row>
    <x:row r="22" ht="23" customHeight="1">
      <x:c r="A22" s="2"/>
      <x:c r="B22" s="2"/>
      <x:c r="C22" s="2"/>
      <x:c r="D22" s="2"/>
      <x:c r="E22" s="5"/>
      <x:c r="F22" s="5"/>
      <x:c r="G22" s="5"/>
      <x:c r="H22" s="2"/>
      <x:c r="I22" s="2"/>
      <x:c r="J22" s="2"/>
      <x:c r="K22" s="2"/>
      <x:c r="L22" s="2"/>
    </x:row>
    <x:row r="23" ht="23" customHeight="1">
      <x:c r="A23" s="2"/>
      <x:c r="B23" s="2"/>
      <x:c r="C23" s="2" t="str">
        <x:v>Reported closing cash (reference)</x:v>
      </x:c>
      <x:c r="D23" s="2"/>
      <x:c r="E23" s="39" t="n">
        <x:f>'Performance'!G60</x:f>
        <x:v>767.43</x:v>
      </x:c>
      <x:c r="F23" s="5"/>
      <x:c r="G23" s="5"/>
      <x:c r="H23" s="2"/>
      <x:c r="I23" s="2"/>
      <x:c r="J23" s="2"/>
      <x:c r="K23" s="2"/>
      <x:c r="L23" s="2"/>
    </x:row>
    <x:row r="24" ht="23" customHeight="1">
      <x:c r="A24" s="2"/>
      <x:c r="B24" s="2"/>
      <x:c r="C24" s="2" t="str">
        <x:v>Requirement / reported cash</x:v>
      </x:c>
      <x:c r="D24" s="2"/>
      <x:c r="E24" s="60" t="n">
        <x:f>E21/E23</x:f>
        <x:v>0.8097994391171103</x:v>
      </x:c>
      <x:c r="F24" s="5"/>
      <x:c r="G24" s="5"/>
      <x:c r="H24" s="2"/>
      <x:c r="I24" s="2"/>
      <x:c r="J24" s="2"/>
      <x:c r="K24" s="2"/>
      <x:c r="L24" s="2"/>
    </x:row>
    <x:row r="25" ht="23" customHeight="1">
      <x:c r="A25" s="2"/>
      <x:c r="B25" s="2"/>
      <x:c r="C25" s="2" t="str">
        <x:v>Cash less requirement (reference)</x:v>
      </x:c>
      <x:c r="D25" s="2"/>
      <x:c r="E25" s="6" t="n">
        <x:f>E23-E21</x:f>
        <x:v>145.96561643835605</x:v>
      </x:c>
      <x:c r="F25" s="5"/>
      <x:c r="G25" s="5"/>
      <x:c r="H25" s="2"/>
      <x:c r="I25" s="2"/>
      <x:c r="J25" s="2"/>
      <x:c r="K25" s="2"/>
      <x:c r="L25" s="2"/>
    </x:row>
    <x:row r="26" ht="23" customHeight="1">
      <x:c r="A26" s="2"/>
      <x:c r="B26" s="2"/>
      <x:c r="C26" s="2"/>
      <x:c r="D26" s="2"/>
      <x:c r="E26" s="5"/>
      <x:c r="F26" s="5"/>
      <x:c r="G26" s="5"/>
      <x:c r="H26" s="2"/>
      <x:c r="I26" s="2"/>
      <x:c r="J26" s="2"/>
      <x:c r="K26" s="2"/>
      <x:c r="L26" s="2"/>
    </x:row>
    <x:row r="27" ht="23" customHeight="1">
      <x:c r="A27" s="2"/>
      <x:c r="B27" s="2"/>
      <x:c r="C27" s="2"/>
      <x:c r="D27" s="2"/>
      <x:c r="E27" s="5"/>
      <x:c r="F27" s="5"/>
      <x:c r="G27" s="5"/>
      <x:c r="H27" s="2"/>
      <x:c r="I27" s="2"/>
      <x:c r="J27" s="2"/>
      <x:c r="K27" s="2"/>
      <x:c r="L27" s="2"/>
    </x:row>
    <x:row r="28" ht="38" customHeight="1">
      <x:c r="A28" s="2"/>
      <x:c r="B28" s="2"/>
      <x:c r="C28" s="17" t="str">
        <x:v>These are isolated, steady-state cash sensitivities at FY2026 annual volumes. They assume even daily activity and unchanged prices.</x:v>
      </x:c>
      <x:c r="D28" s="17"/>
      <x:c r="E28" s="18"/>
      <x:c r="F28" s="18"/>
      <x:c r="G28" s="18"/>
      <x:c r="H28" s="17"/>
      <x:c r="I28" s="17"/>
      <x:c r="J28" s="17"/>
      <x:c r="K28" s="17"/>
      <x:c r="L28" s="2"/>
    </x:row>
    <x:row r="29" ht="23" customHeight="1">
      <x:c r="A29" s="2"/>
      <x:c r="B29" s="2"/>
      <x:c r="C29" s="2"/>
      <x:c r="D29" s="2"/>
      <x:c r="E29" s="5"/>
      <x:c r="F29" s="5"/>
      <x:c r="G29" s="5"/>
      <x:c r="H29" s="2"/>
      <x:c r="I29" s="2"/>
      <x:c r="J29" s="2"/>
      <x:c r="K29" s="2"/>
      <x:c r="L29" s="2"/>
    </x:row>
    <x:row r="30" ht="38" customHeight="1">
      <x:c r="A30" s="2"/>
      <x:c r="B30" s="2"/>
      <x:c r="C30" s="17" t="str">
        <x:v>The cash comparison shows scale only. It excludes credit lines, cash timing, restricted funds, taxes and other balance-sheet items.</x:v>
      </x:c>
      <x:c r="D30" s="17"/>
      <x:c r="E30" s="18"/>
      <x:c r="F30" s="18"/>
      <x:c r="G30" s="18"/>
      <x:c r="H30" s="17"/>
      <x:c r="I30" s="17"/>
      <x:c r="J30" s="17"/>
      <x:c r="K30" s="17"/>
      <x:c r="L30" s="2"/>
    </x:row>
    <x:row r="31" ht="23" customHeight="1">
      <x:c r="A31" s="2"/>
      <x:c r="B31" s="2"/>
      <x:c r="C31" s="2"/>
      <x:c r="D31" s="2"/>
      <x:c r="E31" s="5"/>
      <x:c r="F31" s="5"/>
      <x:c r="G31" s="5"/>
      <x:c r="H31" s="2"/>
      <x:c r="I31" s="2"/>
      <x:c r="J31" s="2"/>
      <x:c r="K31" s="2"/>
      <x:c r="L31" s="2"/>
    </x:row>
    <x:row r="32" ht="38" customHeight="1">
      <x:c r="A32" s="2"/>
      <x:c r="B32" s="2"/>
      <x:c r="C32" s="17" t="str">
        <x:v>For combined changes, edit the selected case's drivers in Assumptions. Positive supplier reduction means paying suppliers sooner.</x:v>
      </x:c>
      <x:c r="D32" s="17"/>
      <x:c r="E32" s="18"/>
      <x:c r="F32" s="18"/>
      <x:c r="G32" s="18"/>
      <x:c r="H32" s="17"/>
      <x:c r="I32" s="17"/>
      <x:c r="J32" s="17"/>
      <x:c r="K32" s="17"/>
      <x:c r="L32" s="2"/>
    </x:row>
    <x:row r="33" ht="23" customHeight="1">
      <x:c r="A33" s="2"/>
      <x:c r="B33" s="2"/>
      <x:c r="C33" s="2"/>
      <x:c r="D33" s="2"/>
      <x:c r="E33" s="5"/>
      <x:c r="F33" s="5"/>
      <x:c r="G33" s="5"/>
      <x:c r="H33" s="2"/>
      <x:c r="I33" s="2"/>
      <x:c r="J33" s="2"/>
      <x:c r="K33" s="2"/>
      <x:c r="L33" s="2"/>
    </x:row>
    <x:row r="34" ht="23" customHeight="1">
      <x:c r="A34" s="2"/>
      <x:c r="B34" s="2"/>
      <x:c r="C34" s="2"/>
      <x:c r="D34" s="2"/>
      <x:c r="E34" s="5"/>
      <x:c r="F34" s="5"/>
      <x:c r="G34" s="5"/>
      <x:c r="H34" s="2"/>
      <x:c r="I34" s="2"/>
      <x:c r="J34" s="2"/>
      <x:c r="K34" s="2"/>
      <x:c r="L34" s="2"/>
    </x:row>
    <x:row r="35" ht="23" customHeight="1">
      <x:c r="A35" s="2"/>
      <x:c r="B35" s="2"/>
      <x:c r="C35" s="2"/>
      <x:c r="D35" s="2"/>
      <x:c r="E35" s="5"/>
      <x:c r="F35" s="5"/>
      <x:c r="G35" s="5"/>
      <x:c r="H35" s="2"/>
      <x:c r="I35" s="2"/>
      <x:c r="J35" s="2"/>
      <x:c r="K35" s="2"/>
      <x:c r="L35" s="2"/>
    </x:row>
    <x:row r="36" ht="23" customHeight="1">
      <x:c r="A36" s="2"/>
      <x:c r="B36" s="2"/>
      <x:c r="C36" s="2"/>
      <x:c r="D36" s="2"/>
      <x:c r="E36" s="5"/>
      <x:c r="F36" s="5"/>
      <x:c r="G36" s="5"/>
      <x:c r="H36" s="2"/>
      <x:c r="I36" s="2"/>
      <x:c r="J36" s="2"/>
      <x:c r="K36" s="2"/>
      <x:c r="L36" s="2"/>
    </x:row>
    <x:row r="37" ht="23" customHeight="1">
      <x:c r="A37" s="2"/>
      <x:c r="B37" s="2"/>
      <x:c r="C37" s="2"/>
      <x:c r="D37" s="2"/>
      <x:c r="E37" s="5"/>
      <x:c r="F37" s="5"/>
      <x:c r="G37" s="5"/>
      <x:c r="H37" s="2"/>
      <x:c r="I37" s="2"/>
      <x:c r="J37" s="2"/>
      <x:c r="K37" s="2"/>
      <x:c r="L37" s="2"/>
    </x:row>
    <x:row r="38" ht="23" customHeight="1">
      <x:c r="A38" s="2"/>
      <x:c r="B38" s="2"/>
      <x:c r="C38" s="2"/>
      <x:c r="D38" s="2"/>
      <x:c r="E38" s="5"/>
      <x:c r="F38" s="5"/>
      <x:c r="G38" s="5"/>
      <x:c r="H38" s="2"/>
      <x:c r="I38" s="2"/>
      <x:c r="J38" s="2"/>
      <x:c r="K38" s="2"/>
      <x:c r="L38" s="2"/>
    </x:row>
    <x:row r="39" ht="23" customHeight="1">
      <x:c r="A39" s="2"/>
      <x:c r="B39" s="2"/>
      <x:c r="C39" s="2"/>
      <x:c r="D39" s="2"/>
      <x:c r="E39" s="5"/>
      <x:c r="F39" s="5"/>
      <x:c r="G39" s="5"/>
      <x:c r="H39" s="2"/>
      <x:c r="I39" s="2"/>
      <x:c r="J39" s="2"/>
      <x:c r="K39" s="2"/>
      <x:c r="L39" s="2"/>
    </x:row>
    <x:row r="40" ht="23" customHeight="1">
      <x:c r="A40" s="2"/>
      <x:c r="B40" s="2"/>
      <x:c r="C40" s="2"/>
      <x:c r="D40" s="2"/>
      <x:c r="E40" s="5"/>
      <x:c r="F40" s="5"/>
      <x:c r="G40" s="5"/>
      <x:c r="H40" s="2"/>
      <x:c r="I40" s="2"/>
      <x:c r="J40" s="2"/>
      <x:c r="K40" s="2"/>
      <x:c r="L40" s="2"/>
    </x:row>
    <x:row r="41" ht="23" customHeight="1">
      <x:c r="A41" s="2"/>
      <x:c r="B41" s="2"/>
      <x:c r="C41" s="2"/>
      <x:c r="D41" s="2"/>
      <x:c r="E41" s="5"/>
      <x:c r="F41" s="5"/>
      <x:c r="G41" s="5"/>
      <x:c r="H41" s="2"/>
      <x:c r="I41" s="2"/>
      <x:c r="J41" s="2"/>
      <x:c r="K41" s="2"/>
      <x:c r="L41" s="2"/>
    </x:row>
    <x:row r="42" ht="23" customHeight="1">
      <x:c r="A42" s="2"/>
      <x:c r="B42" s="2"/>
      <x:c r="C42" s="2"/>
      <x:c r="D42" s="2"/>
      <x:c r="E42" s="5"/>
      <x:c r="F42" s="5"/>
      <x:c r="G42" s="5"/>
      <x:c r="H42" s="2"/>
      <x:c r="I42" s="2"/>
      <x:c r="J42" s="2"/>
      <x:c r="K42" s="2"/>
      <x:c r="L42" s="2"/>
    </x:row>
    <x:row r="43" ht="23" customHeight="1">
      <x:c r="A43" s="2"/>
      <x:c r="B43" s="2"/>
      <x:c r="C43" s="2"/>
      <x:c r="D43" s="2"/>
      <x:c r="E43" s="5"/>
      <x:c r="F43" s="5"/>
      <x:c r="G43" s="5"/>
      <x:c r="H43" s="2"/>
      <x:c r="I43" s="2"/>
      <x:c r="J43" s="2"/>
      <x:c r="K43" s="2"/>
      <x:c r="L43" s="2"/>
    </x:row>
    <x:row r="44" ht="23" customHeight="1">
      <x:c r="A44" s="2"/>
      <x:c r="B44" s="2"/>
      <x:c r="C44" s="2"/>
      <x:c r="D44" s="2"/>
      <x:c r="E44" s="5"/>
      <x:c r="F44" s="5"/>
      <x:c r="G44" s="5"/>
      <x:c r="H44" s="2"/>
      <x:c r="I44" s="2"/>
      <x:c r="J44" s="2"/>
      <x:c r="K44" s="2"/>
      <x:c r="L44" s="2"/>
    </x:row>
    <x:row r="45" ht="23" customHeight="1">
      <x:c r="A45" s="2"/>
      <x:c r="B45" s="2"/>
      <x:c r="C45" s="2"/>
      <x:c r="D45" s="2"/>
      <x:c r="E45" s="5"/>
      <x:c r="F45" s="5"/>
      <x:c r="G45" s="5"/>
      <x:c r="H45" s="2"/>
      <x:c r="I45" s="2"/>
      <x:c r="J45" s="2"/>
      <x:c r="K45" s="2"/>
      <x:c r="L45" s="2"/>
    </x:row>
    <x:row r="46" ht="23" customHeight="1">
      <x:c r="A46" s="2"/>
      <x:c r="B46" s="2"/>
      <x:c r="C46" s="2"/>
      <x:c r="D46" s="2"/>
      <x:c r="E46" s="5"/>
      <x:c r="F46" s="5"/>
      <x:c r="G46" s="5"/>
      <x:c r="H46" s="2"/>
      <x:c r="I46" s="2"/>
      <x:c r="J46" s="2"/>
      <x:c r="K46" s="2"/>
      <x:c r="L46" s="2"/>
    </x:row>
    <x:row r="47" ht="23" customHeight="1">
      <x:c r="A47" s="2"/>
      <x:c r="B47" s="2"/>
      <x:c r="C47" s="2"/>
      <x:c r="D47" s="2"/>
      <x:c r="E47" s="5"/>
      <x:c r="F47" s="5"/>
      <x:c r="G47" s="5"/>
      <x:c r="H47" s="2"/>
      <x:c r="I47" s="2"/>
      <x:c r="J47" s="2"/>
      <x:c r="K47" s="2"/>
      <x:c r="L47" s="2"/>
    </x:row>
    <x:row r="48" ht="23" customHeight="1">
      <x:c r="A48" s="2"/>
      <x:c r="B48" s="2"/>
      <x:c r="C48" s="2"/>
      <x:c r="D48" s="2"/>
      <x:c r="E48" s="5"/>
      <x:c r="F48" s="5"/>
      <x:c r="G48" s="5"/>
      <x:c r="H48" s="2"/>
      <x:c r="I48" s="2"/>
      <x:c r="J48" s="2"/>
      <x:c r="K48" s="2"/>
      <x:c r="L48" s="2"/>
    </x:row>
    <x:row r="49" ht="23" customHeight="1">
      <x:c r="A49" s="2"/>
      <x:c r="B49" s="2"/>
      <x:c r="C49" s="2"/>
      <x:c r="D49" s="2"/>
      <x:c r="E49" s="5"/>
      <x:c r="F49" s="5"/>
      <x:c r="G49" s="5"/>
      <x:c r="H49" s="2"/>
      <x:c r="I49" s="2"/>
      <x:c r="J49" s="2"/>
      <x:c r="K49" s="2"/>
      <x:c r="L49" s="2"/>
    </x:row>
    <x:row r="50" ht="23" customHeight="1">
      <x:c r="A50" s="2"/>
      <x:c r="B50" s="2"/>
      <x:c r="C50" s="2"/>
      <x:c r="D50" s="2"/>
      <x:c r="E50" s="5"/>
      <x:c r="F50" s="5"/>
      <x:c r="G50" s="5"/>
      <x:c r="H50" s="2"/>
      <x:c r="I50" s="2"/>
      <x:c r="J50" s="2"/>
      <x:c r="K50" s="2"/>
      <x:c r="L50" s="2"/>
    </x:row>
    <x:row r="51" ht="23" customHeight="1">
      <x:c r="A51" s="2"/>
      <x:c r="B51" s="2"/>
      <x:c r="C51" s="2"/>
      <x:c r="D51" s="2"/>
      <x:c r="E51" s="5"/>
      <x:c r="F51" s="5"/>
      <x:c r="G51" s="5"/>
      <x:c r="H51" s="2"/>
      <x:c r="I51" s="2"/>
      <x:c r="J51" s="2"/>
      <x:c r="K51" s="2"/>
      <x:c r="L51" s="2"/>
    </x:row>
    <x:row r="52" ht="23" customHeight="1">
      <x:c r="A52" s="2"/>
      <x:c r="B52" s="2"/>
      <x:c r="C52" s="2"/>
      <x:c r="D52" s="2"/>
      <x:c r="E52" s="5"/>
      <x:c r="F52" s="5"/>
      <x:c r="G52" s="5"/>
      <x:c r="H52" s="2"/>
      <x:c r="I52" s="2"/>
      <x:c r="J52" s="2"/>
      <x:c r="K52" s="2"/>
      <x:c r="L52" s="2"/>
    </x:row>
    <x:row r="53" ht="23" customHeight="1">
      <x:c r="A53" s="2"/>
      <x:c r="B53" s="2"/>
      <x:c r="C53" s="2"/>
      <x:c r="D53" s="2"/>
      <x:c r="E53" s="5"/>
      <x:c r="F53" s="5"/>
      <x:c r="G53" s="5"/>
      <x:c r="H53" s="2"/>
      <x:c r="I53" s="2"/>
      <x:c r="J53" s="2"/>
      <x:c r="K53" s="2"/>
      <x:c r="L53" s="2"/>
    </x:row>
    <x:row r="54" ht="23" customHeight="1">
      <x:c r="A54" s="2"/>
      <x:c r="B54" s="2"/>
      <x:c r="C54" s="2"/>
      <x:c r="D54" s="2"/>
      <x:c r="E54" s="5"/>
      <x:c r="F54" s="5"/>
      <x:c r="G54" s="5"/>
      <x:c r="H54" s="2"/>
      <x:c r="I54" s="2"/>
      <x:c r="J54" s="2"/>
      <x:c r="K54" s="2"/>
      <x:c r="L54" s="2"/>
    </x:row>
    <x:row r="55" ht="23" customHeight="1">
      <x:c r="A55" s="2"/>
      <x:c r="B55" s="2"/>
      <x:c r="C55" s="2"/>
      <x:c r="D55" s="2"/>
      <x:c r="E55" s="5"/>
      <x:c r="F55" s="5"/>
      <x:c r="G55" s="5"/>
      <x:c r="H55" s="2"/>
      <x:c r="I55" s="2"/>
      <x:c r="J55" s="2"/>
      <x:c r="K55" s="2"/>
      <x:c r="L55" s="2"/>
    </x:row>
    <x:row r="56" ht="23" customHeight="1">
      <x:c r="A56" s="2"/>
      <x:c r="B56" s="2"/>
      <x:c r="C56" s="2"/>
      <x:c r="D56" s="2"/>
      <x:c r="E56" s="5"/>
      <x:c r="F56" s="5"/>
      <x:c r="G56" s="5"/>
      <x:c r="H56" s="2"/>
      <x:c r="I56" s="2"/>
      <x:c r="J56" s="2"/>
      <x:c r="K56" s="2"/>
      <x:c r="L56" s="2"/>
    </x:row>
    <x:row r="57" ht="23" customHeight="1">
      <x:c r="A57" s="2"/>
      <x:c r="B57" s="2"/>
      <x:c r="C57" s="2"/>
      <x:c r="D57" s="2"/>
      <x:c r="E57" s="5"/>
      <x:c r="F57" s="5"/>
      <x:c r="G57" s="5"/>
      <x:c r="H57" s="2"/>
      <x:c r="I57" s="2"/>
      <x:c r="J57" s="2"/>
      <x:c r="K57" s="2"/>
      <x:c r="L57" s="2"/>
    </x:row>
    <x:row r="58" ht="23" customHeight="1">
      <x:c r="A58" s="2"/>
      <x:c r="B58" s="2"/>
      <x:c r="C58" s="2"/>
      <x:c r="D58" s="2"/>
      <x:c r="E58" s="5"/>
      <x:c r="F58" s="5"/>
      <x:c r="G58" s="5"/>
      <x:c r="H58" s="2"/>
      <x:c r="I58" s="2"/>
      <x:c r="J58" s="2"/>
      <x:c r="K58" s="2"/>
      <x:c r="L58" s="2"/>
    </x:row>
    <x:row r="59" ht="23" customHeight="1">
      <x:c r="A59" s="2"/>
      <x:c r="B59" s="2"/>
      <x:c r="C59" s="2"/>
      <x:c r="D59" s="2"/>
      <x:c r="E59" s="5"/>
      <x:c r="F59" s="5"/>
      <x:c r="G59" s="5"/>
      <x:c r="H59" s="2"/>
      <x:c r="I59" s="2"/>
      <x:c r="J59" s="2"/>
      <x:c r="K59" s="2"/>
      <x:c r="L59" s="2"/>
    </x:row>
    <x:row r="60" ht="23" customHeight="1">
      <x:c r="A60" s="2"/>
      <x:c r="B60" s="2"/>
      <x:c r="C60" s="2"/>
      <x:c r="D60" s="2"/>
      <x:c r="E60" s="5"/>
      <x:c r="F60" s="5"/>
      <x:c r="G60" s="5"/>
      <x:c r="H60" s="2"/>
      <x:c r="I60" s="2"/>
      <x:c r="J60" s="2"/>
      <x:c r="K60" s="2"/>
      <x:c r="L60" s="2"/>
    </x:row>
    <x:row r="61" ht="23" customHeight="1">
      <x:c r="A61" s="2"/>
      <x:c r="B61" s="2"/>
      <x:c r="C61" s="2"/>
      <x:c r="D61" s="2"/>
      <x:c r="E61" s="5"/>
      <x:c r="F61" s="5"/>
      <x:c r="G61" s="5"/>
      <x:c r="H61" s="2"/>
      <x:c r="I61" s="2"/>
      <x:c r="J61" s="2"/>
      <x:c r="K61" s="2"/>
      <x:c r="L61" s="2"/>
    </x:row>
    <x:row r="62" ht="23" customHeight="1">
      <x:c r="A62" s="2"/>
      <x:c r="B62" s="2"/>
      <x:c r="C62" s="2"/>
      <x:c r="D62" s="2"/>
      <x:c r="E62" s="5"/>
      <x:c r="F62" s="5"/>
      <x:c r="G62" s="5"/>
      <x:c r="H62" s="2"/>
      <x:c r="I62" s="2"/>
      <x:c r="J62" s="2"/>
      <x:c r="K62" s="2"/>
      <x:c r="L62" s="2"/>
    </x:row>
    <x:row r="63" ht="23" customHeight="1">
      <x:c r="A63" s="2"/>
      <x:c r="B63" s="2"/>
      <x:c r="C63" s="2"/>
      <x:c r="D63" s="2"/>
      <x:c r="E63" s="5"/>
      <x:c r="F63" s="5"/>
      <x:c r="G63" s="5"/>
      <x:c r="H63" s="2"/>
      <x:c r="I63" s="2"/>
      <x:c r="J63" s="2"/>
      <x:c r="K63" s="2"/>
      <x:c r="L63" s="2"/>
    </x:row>
    <x:row r="64" ht="23" customHeight="1">
      <x:c r="A64" s="2"/>
      <x:c r="B64" s="2"/>
      <x:c r="C64" s="2"/>
      <x:c r="D64" s="2"/>
      <x:c r="E64" s="5"/>
      <x:c r="F64" s="5"/>
      <x:c r="G64" s="5"/>
      <x:c r="H64" s="2"/>
      <x:c r="I64" s="2"/>
      <x:c r="J64" s="2"/>
      <x:c r="K64" s="2"/>
      <x:c r="L64" s="2"/>
    </x:row>
    <x:row r="65" ht="23" customHeight="1">
      <x:c r="A65" s="2"/>
      <x:c r="B65" s="2"/>
      <x:c r="C65" s="2"/>
      <x:c r="D65" s="2"/>
      <x:c r="E65" s="5"/>
      <x:c r="F65" s="5"/>
      <x:c r="G65" s="5"/>
      <x:c r="H65" s="2"/>
      <x:c r="I65" s="2"/>
      <x:c r="J65" s="2"/>
      <x:c r="K65" s="2"/>
      <x:c r="L65" s="2"/>
    </x:row>
    <x:row r="66" ht="23" customHeight="1">
      <x:c r="A66" s="2"/>
      <x:c r="B66" s="2"/>
      <x:c r="C66" s="2"/>
      <x:c r="D66" s="2"/>
      <x:c r="E66" s="5"/>
      <x:c r="F66" s="5"/>
      <x:c r="G66" s="5"/>
      <x:c r="H66" s="2"/>
      <x:c r="I66" s="2"/>
      <x:c r="J66" s="2"/>
      <x:c r="K66" s="2"/>
      <x:c r="L66" s="2"/>
    </x:row>
    <x:row r="67" ht="23" customHeight="1">
      <x:c r="A67" s="2"/>
      <x:c r="B67" s="2"/>
      <x:c r="C67" s="2"/>
      <x:c r="D67" s="2"/>
      <x:c r="E67" s="5"/>
      <x:c r="F67" s="5"/>
      <x:c r="G67" s="5"/>
      <x:c r="H67" s="2"/>
      <x:c r="I67" s="2"/>
      <x:c r="J67" s="2"/>
      <x:c r="K67" s="2"/>
      <x:c r="L67" s="2"/>
    </x:row>
    <x:row r="68" ht="23" customHeight="1">
      <x:c r="A68" s="2"/>
      <x:c r="B68" s="2"/>
      <x:c r="C68" s="2"/>
      <x:c r="D68" s="2"/>
      <x:c r="E68" s="5"/>
      <x:c r="F68" s="5"/>
      <x:c r="G68" s="5"/>
      <x:c r="H68" s="2"/>
      <x:c r="I68" s="2"/>
      <x:c r="J68" s="2"/>
      <x:c r="K68" s="2"/>
      <x:c r="L68" s="2"/>
    </x:row>
    <x:row r="69" ht="23" customHeight="1">
      <x:c r="A69" s="2"/>
      <x:c r="B69" s="2"/>
      <x:c r="C69" s="2"/>
      <x:c r="D69" s="2"/>
      <x:c r="E69" s="5"/>
      <x:c r="F69" s="5"/>
      <x:c r="G69" s="5"/>
      <x:c r="H69" s="2"/>
      <x:c r="I69" s="2"/>
      <x:c r="J69" s="2"/>
      <x:c r="K69" s="2"/>
      <x:c r="L69" s="2"/>
    </x:row>
    <x:row r="70" ht="23" customHeight="1">
      <x:c r="A70" s="2"/>
      <x:c r="B70" s="2"/>
      <x:c r="C70" s="2"/>
      <x:c r="D70" s="2"/>
      <x:c r="E70" s="5"/>
      <x:c r="F70" s="5"/>
      <x:c r="G70" s="5"/>
      <x:c r="H70" s="2"/>
      <x:c r="I70" s="2"/>
      <x:c r="J70" s="2"/>
      <x:c r="K70" s="2"/>
      <x:c r="L70" s="2"/>
    </x:row>
  </x:sheetData>
  <x:mergeCells>
    <x:mergeCell ref="C2:K2"/>
    <x:mergeCell ref="E4:G4"/>
    <x:mergeCell ref="C28:K28"/>
    <x:mergeCell ref="C30:K30"/>
    <x:mergeCell ref="C32:K32"/>
  </x:mergeCells>
  <x:conditionalFormatting sqref="E25:E25">
    <x:cfRule type="cellIs" dxfId="4" priority="1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3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2"/>
      <x:c r="B2" s="2"/>
      <x:c r="C2" s="3" t="str">
        <x:v>Pilot Business Case</x:v>
      </x:c>
      <x:c r="D2" s="3"/>
      <x:c r="E2" s="3"/>
      <x:c r="F2" s="3"/>
      <x:c r="G2" s="3"/>
      <x:c r="H2" s="3"/>
      <x:c r="I2" s="3"/>
      <x:c r="J2" s="3"/>
      <x:c r="K2" s="3"/>
      <x:c r="L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2"/>
    </x:row>
    <x:row r="4" ht="23" customHeight="1">
      <x:c r="A4" s="2"/>
      <x:c r="B4" s="2"/>
      <x:c r="C4" s="2" t="str">
        <x:v>Case selected</x:v>
      </x:c>
      <x:c r="D4" s="2"/>
      <x:c r="E4" s="36" t="str">
        <x:f>'Assumptions'!E8</x:f>
        <x:v>Earlier supplier payment</x:v>
      </x:c>
      <x:c r="F4" s="37"/>
      <x:c r="G4" s="38"/>
      <x:c r="H4" s="2"/>
      <x:c r="I4" s="2"/>
      <x:c r="J4" s="2"/>
      <x:c r="K4" s="2"/>
      <x:c r="L4" s="2"/>
    </x:row>
    <x:row r="5" ht="23" customHeight="1">
      <x:c r="A5" s="2"/>
      <x:c r="B5" s="2"/>
      <x:c r="C5" s="2"/>
      <x:c r="D5" s="2"/>
      <x:c r="E5" s="5"/>
      <x:c r="F5" s="5"/>
      <x:c r="G5" s="5"/>
      <x:c r="H5" s="2"/>
      <x:c r="I5" s="2"/>
      <x:c r="J5" s="2"/>
      <x:c r="K5" s="2"/>
      <x:c r="L5" s="2"/>
    </x:row>
    <x:row r="6" ht="23" customHeight="1">
      <x:c r="A6" s="2"/>
      <x:c r="B6" s="2"/>
      <x:c r="C6" s="2"/>
      <x:c r="D6" s="2"/>
      <x:c r="E6" s="5"/>
      <x:c r="F6" s="5"/>
      <x:c r="G6" s="5"/>
      <x:c r="H6" s="2"/>
      <x:c r="I6" s="2"/>
      <x:c r="J6" s="2"/>
      <x:c r="K6" s="2"/>
      <x:c r="L6" s="2"/>
    </x:row>
    <x:row r="7" ht="23" customHeight="1">
      <x:c r="A7" s="2"/>
      <x:c r="B7" s="2"/>
      <x:c r="C7" s="2" t="str">
        <x:v>FY2026 annual revenue (INR cr)</x:v>
      </x:c>
      <x:c r="D7" s="2"/>
      <x:c r="E7" s="39" t="n">
        <x:f>'Performance'!G7</x:f>
        <x:v>48872.8</x:v>
      </x:c>
      <x:c r="F7" s="5"/>
      <x:c r="G7" s="5"/>
      <x:c r="H7" s="2"/>
      <x:c r="I7" s="2"/>
      <x:c r="J7" s="2"/>
      <x:c r="K7" s="2"/>
      <x:c r="L7" s="2"/>
    </x:row>
    <x:row r="8" ht="23" customHeight="1">
      <x:c r="A8" s="2"/>
      <x:c r="B8" s="2"/>
      <x:c r="C8" s="2" t="str">
        <x:v>Pilot share of annual sales</x:v>
      </x:c>
      <x:c r="D8" s="2"/>
      <x:c r="E8" s="40" t="n">
        <x:f>IF(ISNUMBER('Assumptions'!E33),'Assumptions'!E33,"missing")</x:f>
        <x:v>0.02</x:v>
      </x:c>
      <x:c r="F8" s="5"/>
      <x:c r="G8" s="5"/>
      <x:c r="H8" s="2"/>
      <x:c r="I8" s="2"/>
      <x:c r="J8" s="2"/>
      <x:c r="K8" s="2"/>
      <x:c r="L8" s="2"/>
    </x:row>
    <x:row r="9" ht="23" customHeight="1">
      <x:c r="A9" s="2"/>
      <x:c r="B9" s="2"/>
      <x:c r="C9" s="2" t="str">
        <x:v>Annual sales covered by pilot</x:v>
      </x:c>
      <x:c r="D9" s="2"/>
      <x:c r="E9" s="6" t="n">
        <x:f>E7*E8</x:f>
        <x:v>977.4560000000001</x:v>
      </x:c>
      <x:c r="F9" s="5"/>
      <x:c r="G9" s="5"/>
      <x:c r="H9" s="2"/>
      <x:c r="I9" s="2"/>
      <x:c r="J9" s="2"/>
      <x:c r="K9" s="2"/>
      <x:c r="L9" s="2"/>
    </x:row>
    <x:row r="10" ht="23" customHeight="1">
      <x:c r="A10" s="2"/>
      <x:c r="B10" s="2"/>
      <x:c r="C10" s="2" t="str">
        <x:v>Target collection days reduction</x:v>
      </x:c>
      <x:c r="D10" s="2"/>
      <x:c r="E10" s="39" t="n">
        <x:f>IF(ISNUMBER('Assumptions'!E34),'Assumptions'!E34,"missing")</x:f>
        <x:v>5</x:v>
      </x:c>
      <x:c r="F10" s="5"/>
      <x:c r="G10" s="5"/>
      <x:c r="H10" s="2"/>
      <x:c r="I10" s="2"/>
      <x:c r="J10" s="2"/>
      <x:c r="K10" s="2"/>
      <x:c r="L10" s="2"/>
    </x:row>
    <x:row r="11" ht="23" customHeight="1">
      <x:c r="A11" s="2"/>
      <x:c r="B11" s="2"/>
      <x:c r="C11" s="2" t="str">
        <x:v>Days per year</x:v>
      </x:c>
      <x:c r="D11" s="2"/>
      <x:c r="E11" s="39" t="n">
        <x:f>IF(ISNUMBER('Assumptions'!E7),'Assumptions'!E7,"missing")</x:f>
        <x:v>365</x:v>
      </x:c>
      <x:c r="F11" s="5"/>
      <x:c r="G11" s="5"/>
      <x:c r="H11" s="2"/>
      <x:c r="I11" s="2"/>
      <x:c r="J11" s="2"/>
      <x:c r="K11" s="2"/>
      <x:c r="L11" s="2"/>
    </x:row>
    <x:row r="12" ht="23" customHeight="1">
      <x:c r="A12" s="2"/>
      <x:c r="B12" s="2"/>
      <x:c r="C12" s="2"/>
      <x:c r="D12" s="2"/>
      <x:c r="E12" s="5"/>
      <x:c r="F12" s="5"/>
      <x:c r="G12" s="5"/>
      <x:c r="H12" s="2"/>
      <x:c r="I12" s="2"/>
      <x:c r="J12" s="2"/>
      <x:c r="K12" s="2"/>
      <x:c r="L12" s="2"/>
    </x:row>
    <x:row r="13" ht="23" customHeight="1">
      <x:c r="A13" s="2"/>
      <x:c r="B13" s="2"/>
      <x:c r="C13" s="9" t="str">
        <x:v>One-time cash release</x:v>
      </x:c>
      <x:c r="D13" s="9"/>
      <x:c r="E13" s="11" t="n">
        <x:f>E9/E11*E10</x:f>
        <x:v>13.389808219178082</x:v>
      </x:c>
      <x:c r="F13" s="10"/>
      <x:c r="G13" s="10"/>
      <x:c r="H13" s="2"/>
      <x:c r="I13" s="2"/>
      <x:c r="J13" s="2"/>
      <x:c r="K13" s="2"/>
      <x:c r="L13" s="2"/>
    </x:row>
    <x:row r="14" ht="23" customHeight="1">
      <x:c r="A14" s="2"/>
      <x:c r="B14" s="2"/>
      <x:c r="C14" s="2" t="str">
        <x:v>Share replacing financed borrowing</x:v>
      </x:c>
      <x:c r="D14" s="2"/>
      <x:c r="E14" s="40" t="n">
        <x:f>IF(ISNUMBER('Assumptions'!E35),'Assumptions'!E35,"missing")</x:f>
        <x:v>0.5</x:v>
      </x:c>
      <x:c r="F14" s="5"/>
      <x:c r="G14" s="5"/>
      <x:c r="H14" s="2"/>
      <x:c r="I14" s="2"/>
      <x:c r="J14" s="2"/>
      <x:c r="K14" s="2"/>
      <x:c r="L14" s="2"/>
    </x:row>
    <x:row r="15" ht="23" customHeight="1">
      <x:c r="A15" s="2"/>
      <x:c r="B15" s="2"/>
      <x:c r="C15" s="2" t="str">
        <x:v>Financed cash displaced</x:v>
      </x:c>
      <x:c r="D15" s="2"/>
      <x:c r="E15" s="6" t="n">
        <x:f>E13*E14</x:f>
        <x:v>6.694904109589041</x:v>
      </x:c>
      <x:c r="F15" s="5"/>
      <x:c r="G15" s="5"/>
      <x:c r="H15" s="2"/>
      <x:c r="I15" s="2"/>
      <x:c r="J15" s="2"/>
      <x:c r="K15" s="2"/>
      <x:c r="L15" s="2"/>
    </x:row>
    <x:row r="16" ht="23" customHeight="1">
      <x:c r="A16" s="2"/>
      <x:c r="B16" s="2"/>
      <x:c r="C16" s="2" t="str">
        <x:v>Annual financing rate</x:v>
      </x:c>
      <x:c r="D16" s="2"/>
      <x:c r="E16" s="40" t="n">
        <x:f>IF(ISNUMBER('Assumptions'!E36),'Assumptions'!E36,"missing")</x:f>
        <x:v>0.1</x:v>
      </x:c>
      <x:c r="F16" s="5"/>
      <x:c r="G16" s="5"/>
      <x:c r="H16" s="2"/>
      <x:c r="I16" s="2"/>
      <x:c r="J16" s="2"/>
      <x:c r="K16" s="2"/>
      <x:c r="L16" s="2"/>
    </x:row>
    <x:row r="17" ht="23" customHeight="1">
      <x:c r="A17" s="2"/>
      <x:c r="B17" s="2"/>
      <x:c r="C17" s="2" t="str">
        <x:v>Full annual financing saving</x:v>
      </x:c>
      <x:c r="D17" s="2"/>
      <x:c r="E17" s="6" t="n">
        <x:f>E15*E16</x:f>
        <x:v>0.6694904109589042</x:v>
      </x:c>
      <x:c r="F17" s="5"/>
      <x:c r="G17" s="5"/>
      <x:c r="H17" s="2"/>
      <x:c r="I17" s="2"/>
      <x:c r="J17" s="2"/>
      <x:c r="K17" s="2"/>
      <x:c r="L17" s="2"/>
    </x:row>
    <x:row r="18" ht="23" customHeight="1">
      <x:c r="A18" s="2"/>
      <x:c r="B18" s="2"/>
      <x:c r="C18" s="2"/>
      <x:c r="D18" s="2"/>
      <x:c r="E18" s="5"/>
      <x:c r="F18" s="5"/>
      <x:c r="G18" s="5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5"/>
      <x:c r="F19" s="5"/>
      <x:c r="G19" s="5"/>
      <x:c r="H19" s="2"/>
      <x:c r="I19" s="2"/>
      <x:c r="J19" s="2"/>
      <x:c r="K19" s="2"/>
      <x:c r="L19" s="2"/>
    </x:row>
    <x:row r="20" ht="23" customHeight="1">
      <x:c r="A20" s="2"/>
      <x:c r="B20" s="2"/>
      <x:c r="C20" s="2" t="str">
        <x:v>Initial implementation cost</x:v>
      </x:c>
      <x:c r="D20" s="2"/>
      <x:c r="E20" s="39" t="n">
        <x:f>IF(ISNUMBER('Assumptions'!E37),'Assumptions'!E37,"missing")</x:f>
        <x:v>0.25</x:v>
      </x:c>
      <x:c r="F20" s="5"/>
      <x:c r="G20" s="5"/>
      <x:c r="H20" s="2"/>
      <x:c r="I20" s="2"/>
      <x:c r="J20" s="2"/>
      <x:c r="K20" s="2"/>
      <x:c r="L20" s="2"/>
    </x:row>
    <x:row r="21" ht="23" customHeight="1">
      <x:c r="A21" s="2"/>
      <x:c r="B21" s="2"/>
      <x:c r="C21" s="2" t="str">
        <x:v>Annual running cost</x:v>
      </x:c>
      <x:c r="D21" s="2"/>
      <x:c r="E21" s="39" t="n">
        <x:f>IF(ISNUMBER('Assumptions'!E38),'Assumptions'!E38,"missing")</x:f>
        <x:v>0.12</x:v>
      </x:c>
      <x:c r="F21" s="5"/>
      <x:c r="G21" s="5"/>
      <x:c r="H21" s="2"/>
      <x:c r="I21" s="2"/>
      <x:c r="J21" s="2"/>
      <x:c r="K21" s="2"/>
      <x:c r="L21" s="2"/>
    </x:row>
    <x:row r="22" ht="23" customHeight="1">
      <x:c r="A22" s="2"/>
      <x:c r="B22" s="2"/>
      <x:c r="C22" s="2" t="str">
        <x:v>Year 1 benefit realisation</x:v>
      </x:c>
      <x:c r="D22" s="2"/>
      <x:c r="E22" s="40" t="n">
        <x:f>IF(ISNUMBER('Assumptions'!E39),'Assumptions'!E39,"missing")</x:f>
        <x:v>0.5</x:v>
      </x:c>
      <x:c r="F22" s="5"/>
      <x:c r="G22" s="5"/>
      <x:c r="H22" s="2"/>
      <x:c r="I22" s="2"/>
      <x:c r="J22" s="2"/>
      <x:c r="K22" s="2"/>
      <x:c r="L22" s="2"/>
    </x:row>
    <x:row r="23" ht="23" customHeight="1">
      <x:c r="A23" s="2"/>
      <x:c r="B23" s="2"/>
      <x:c r="C23" s="2"/>
      <x:c r="D23" s="2"/>
      <x:c r="E23" s="5"/>
      <x:c r="F23" s="5"/>
      <x:c r="G23" s="5"/>
      <x:c r="H23" s="2"/>
      <x:c r="I23" s="2"/>
      <x:c r="J23" s="2"/>
      <x:c r="K23" s="2"/>
      <x:c r="L23" s="2"/>
    </x:row>
    <x:row r="24" ht="23" customHeight="1">
      <x:c r="A24" s="2"/>
      <x:c r="B24" s="2"/>
      <x:c r="C24" s="2" t="str">
        <x:v>Year 1 financing saving</x:v>
      </x:c>
      <x:c r="D24" s="2"/>
      <x:c r="E24" s="6" t="n">
        <x:f>E17*E22</x:f>
        <x:v>0.3347452054794521</x:v>
      </x:c>
      <x:c r="F24" s="5"/>
      <x:c r="G24" s="5"/>
      <x:c r="H24" s="2"/>
      <x:c r="I24" s="2"/>
      <x:c r="J24" s="2"/>
      <x:c r="K24" s="2"/>
      <x:c r="L24" s="2"/>
    </x:row>
    <x:row r="25" ht="23" customHeight="1">
      <x:c r="A25" s="2"/>
      <x:c r="B25" s="2"/>
      <x:c r="C25" s="2" t="str">
        <x:v>Year 1 net benefit before setup</x:v>
      </x:c>
      <x:c r="D25" s="2"/>
      <x:c r="E25" s="6" t="n">
        <x:f>E24-E21</x:f>
        <x:v>0.21474520547945208</x:v>
      </x:c>
      <x:c r="F25" s="5"/>
      <x:c r="G25" s="5"/>
      <x:c r="H25" s="2"/>
      <x:c r="I25" s="2"/>
      <x:c r="J25" s="2"/>
      <x:c r="K25" s="2"/>
      <x:c r="L25" s="2"/>
    </x:row>
    <x:row r="26" ht="23" customHeight="1">
      <x:c r="A26" s="2"/>
      <x:c r="B26" s="2"/>
      <x:c r="C26" s="9" t="str">
        <x:v>Year 1 net benefit after setup</x:v>
      </x:c>
      <x:c r="D26" s="9"/>
      <x:c r="E26" s="11" t="n">
        <x:f>E25-E20</x:f>
        <x:v>-0.035254794520547916</x:v>
      </x:c>
      <x:c r="F26" s="10"/>
      <x:c r="G26" s="10"/>
      <x:c r="H26" s="2"/>
      <x:c r="I26" s="2"/>
      <x:c r="J26" s="2"/>
      <x:c r="K26" s="2"/>
      <x:c r="L26" s="2"/>
    </x:row>
    <x:row r="27" ht="23" customHeight="1">
      <x:c r="A27" s="2"/>
      <x:c r="B27" s="2"/>
      <x:c r="C27" s="2" t="str">
        <x:v>Year 2 annual net benefit</x:v>
      </x:c>
      <x:c r="D27" s="2"/>
      <x:c r="E27" s="6" t="n">
        <x:f>E17-E21</x:f>
        <x:v>0.5494904109589042</x:v>
      </x:c>
      <x:c r="F27" s="5"/>
      <x:c r="G27" s="5"/>
      <x:c r="H27" s="2"/>
      <x:c r="I27" s="2"/>
      <x:c r="J27" s="2"/>
      <x:c r="K27" s="2"/>
      <x:c r="L27" s="2"/>
    </x:row>
    <x:row r="28" ht="23" customHeight="1">
      <x:c r="A28" s="2"/>
      <x:c r="B28" s="2"/>
      <x:c r="C28" s="9" t="str">
        <x:v>24-month cumulative net benefit</x:v>
      </x:c>
      <x:c r="D28" s="9"/>
      <x:c r="E28" s="11" t="n">
        <x:f>E26+E27</x:f>
        <x:v>0.5142356164383562</x:v>
      </x:c>
      <x:c r="F28" s="10"/>
      <x:c r="G28" s="10"/>
      <x:c r="H28" s="2"/>
      <x:c r="I28" s="2"/>
      <x:c r="J28" s="2"/>
      <x:c r="K28" s="2"/>
      <x:c r="L28" s="2"/>
    </x:row>
    <x:row r="29" ht="23" customHeight="1">
      <x:c r="A29" s="2"/>
      <x:c r="B29" s="2"/>
      <x:c r="C29" s="2" t="str">
        <x:v>24-month ROI on project costs</x:v>
      </x:c>
      <x:c r="D29" s="2"/>
      <x:c r="E29" s="60" t="n">
        <x:f>IF(E20+2*E21=0,"n.a.",E28/(E20+2*E21))</x:f>
        <x:v>1.0494604417109312</x:v>
      </x:c>
      <x:c r="F29" s="5"/>
      <x:c r="G29" s="5"/>
      <x:c r="H29" s="2"/>
      <x:c r="I29" s="2"/>
      <x:c r="J29" s="2"/>
      <x:c r="K29" s="2"/>
      <x:c r="L29" s="2"/>
    </x:row>
    <x:row r="30" ht="23" customHeight="1">
      <x:c r="A30" s="2"/>
      <x:c r="B30" s="2"/>
      <x:c r="C30" s="2" t="str">
        <x:v>Approximate payback (months)</x:v>
      </x:c>
      <x:c r="D30" s="2"/>
      <x:c r="E30" s="6" t="n">
        <x:f>IF(E20=0,0,IF(AND(E25&gt;0,E20&lt;=E25),E20/E25*12,IF(E27&gt;0,12+(E20-E25)/E27*12,"n.a.")))</x:f>
        <x:v>12.769908857023193</x:v>
      </x:c>
      <x:c r="F30" s="5"/>
      <x:c r="G30" s="5"/>
      <x:c r="H30" s="2"/>
      <x:c r="I30" s="2"/>
      <x:c r="J30" s="2"/>
      <x:c r="K30" s="2"/>
      <x:c r="L30" s="2"/>
    </x:row>
    <x:row r="31" ht="23" customHeight="1">
      <x:c r="A31" s="2"/>
      <x:c r="B31" s="2"/>
      <x:c r="C31" s="2"/>
      <x:c r="D31" s="2"/>
      <x:c r="E31" s="5"/>
      <x:c r="F31" s="5"/>
      <x:c r="G31" s="5"/>
      <x:c r="H31" s="2"/>
      <x:c r="I31" s="2"/>
      <x:c r="J31" s="2"/>
      <x:c r="K31" s="2"/>
      <x:c r="L31" s="2"/>
    </x:row>
    <x:row r="32" ht="23" customHeight="1">
      <x:c r="A32" s="2"/>
      <x:c r="B32" s="2"/>
      <x:c r="C32" s="2"/>
      <x:c r="D32" s="2"/>
      <x:c r="E32" s="5"/>
      <x:c r="F32" s="5"/>
      <x:c r="G32" s="5"/>
      <x:c r="H32" s="2"/>
      <x:c r="I32" s="2"/>
      <x:c r="J32" s="2"/>
      <x:c r="K32" s="2"/>
      <x:c r="L32" s="2"/>
    </x:row>
    <x:row r="33" ht="23" customHeight="1">
      <x:c r="A33" s="2"/>
      <x:c r="B33" s="2"/>
      <x:c r="C33" s="2" t="str">
        <x:v>24-month break-even financed share</x:v>
      </x:c>
      <x:c r="D33" s="2"/>
      <x:c r="E33" s="60" t="n">
        <x:f>IF(E13*E16*(E22+1)=0,"n.a.",(E20+2*E21)/(E13*E16*(E22+1)))</x:f>
        <x:v>0.24396665084327745</x:v>
      </x:c>
      <x:c r="F33" s="5"/>
      <x:c r="G33" s="5"/>
      <x:c r="H33" s="2"/>
      <x:c r="I33" s="2"/>
      <x:c r="J33" s="2"/>
      <x:c r="K33" s="2"/>
      <x:c r="L33" s="2"/>
    </x:row>
    <x:row r="34" ht="23" customHeight="1">
      <x:c r="A34" s="2"/>
      <x:c r="B34" s="2"/>
      <x:c r="C34" s="2"/>
      <x:c r="D34" s="2"/>
      <x:c r="E34" s="5"/>
      <x:c r="F34" s="5"/>
      <x:c r="G34" s="5"/>
      <x:c r="H34" s="2"/>
      <x:c r="I34" s="2"/>
      <x:c r="J34" s="2"/>
      <x:c r="K34" s="2"/>
      <x:c r="L34" s="2"/>
    </x:row>
    <x:row r="35" ht="23" customHeight="1">
      <x:c r="A35" s="2"/>
      <x:c r="B35" s="2"/>
      <x:c r="C35" s="2"/>
      <x:c r="D35" s="2"/>
      <x:c r="E35" s="5"/>
      <x:c r="F35" s="5"/>
      <x:c r="G35" s="5"/>
      <x:c r="H35" s="2"/>
      <x:c r="I35" s="2"/>
      <x:c r="J35" s="2"/>
      <x:c r="K35" s="2"/>
      <x:c r="L35" s="2"/>
    </x:row>
    <x:row r="36" ht="38" customHeight="1">
      <x:c r="A36" s="2"/>
      <x:c r="B36" s="2"/>
      <x:c r="C36" s="17" t="str">
        <x:v>Proposed intervention: invoice completeness checks, dispute ownership and a weekly collections review on an assumed 2% sales cohort.</x:v>
      </x:c>
      <x:c r="D36" s="17"/>
      <x:c r="E36" s="18"/>
      <x:c r="F36" s="18"/>
      <x:c r="G36" s="18"/>
      <x:c r="H36" s="17"/>
      <x:c r="I36" s="17"/>
      <x:c r="J36" s="17"/>
      <x:c r="K36" s="17"/>
      <x:c r="L36" s="2"/>
    </x:row>
    <x:row r="37" ht="23" customHeight="1">
      <x:c r="A37" s="2"/>
      <x:c r="B37" s="2"/>
      <x:c r="C37" s="2"/>
      <x:c r="D37" s="2"/>
      <x:c r="E37" s="5"/>
      <x:c r="F37" s="5"/>
      <x:c r="G37" s="5"/>
      <x:c r="H37" s="2"/>
      <x:c r="I37" s="2"/>
      <x:c r="J37" s="2"/>
      <x:c r="K37" s="2"/>
      <x:c r="L37" s="2"/>
    </x:row>
    <x:row r="38" ht="38" customHeight="1">
      <x:c r="A38" s="2"/>
      <x:c r="B38" s="2"/>
      <x:c r="C38" s="17" t="str">
        <x:v>Cash release is excluded from ROI. Only assumed avoided financing expense counts as recurring benefit. Costs and benefits are pre-tax.</x:v>
      </x:c>
      <x:c r="D38" s="17"/>
      <x:c r="E38" s="18"/>
      <x:c r="F38" s="18"/>
      <x:c r="G38" s="18"/>
      <x:c r="H38" s="17"/>
      <x:c r="I38" s="17"/>
      <x:c r="J38" s="17"/>
      <x:c r="K38" s="17"/>
      <x:c r="L38" s="2"/>
    </x:row>
    <x:row r="39" ht="23" customHeight="1">
      <x:c r="A39" s="2"/>
      <x:c r="B39" s="2"/>
      <x:c r="C39" s="2"/>
      <x:c r="D39" s="2"/>
      <x:c r="E39" s="5"/>
      <x:c r="F39" s="5"/>
      <x:c r="G39" s="5"/>
      <x:c r="H39" s="2"/>
      <x:c r="I39" s="2"/>
      <x:c r="J39" s="2"/>
      <x:c r="K39" s="2"/>
      <x:c r="L39" s="2"/>
    </x:row>
    <x:row r="40" ht="38" customHeight="1">
      <x:c r="A40" s="2"/>
      <x:c r="B40" s="2"/>
      <x:c r="C40" s="17" t="str">
        <x:v>A 0% financed share produces no financing saving. Dixon's net cash position makes actual funding displacement a key validation requirement.</x:v>
      </x:c>
      <x:c r="D40" s="17"/>
      <x:c r="E40" s="18"/>
      <x:c r="F40" s="18"/>
      <x:c r="G40" s="18"/>
      <x:c r="H40" s="17"/>
      <x:c r="I40" s="17"/>
      <x:c r="J40" s="17"/>
      <x:c r="K40" s="17"/>
      <x:c r="L40" s="2"/>
    </x:row>
    <x:row r="41" ht="23" customHeight="1">
      <x:c r="A41" s="2"/>
      <x:c r="B41" s="2"/>
      <x:c r="C41" s="2"/>
      <x:c r="D41" s="2"/>
      <x:c r="E41" s="5"/>
      <x:c r="F41" s="5"/>
      <x:c r="G41" s="5"/>
      <x:c r="H41" s="2"/>
      <x:c r="I41" s="2"/>
      <x:c r="J41" s="2"/>
      <x:c r="K41" s="2"/>
      <x:c r="L41" s="2"/>
    </x:row>
    <x:row r="42" ht="38" customHeight="1">
      <x:c r="A42" s="2"/>
      <x:c r="B42" s="2"/>
      <x:c r="C42" s="17" t="str">
        <x:v>Recommendation: validate invoice-level delays and funding costs before approving a pilot. Scale only if measured economics meet the agreed hurdle.</x:v>
      </x:c>
      <x:c r="D42" s="17"/>
      <x:c r="E42" s="18"/>
      <x:c r="F42" s="18"/>
      <x:c r="G42" s="18"/>
      <x:c r="H42" s="17"/>
      <x:c r="I42" s="17"/>
      <x:c r="J42" s="17"/>
      <x:c r="K42" s="17"/>
      <x:c r="L42" s="2"/>
    </x:row>
    <x:row r="43" ht="23" customHeight="1">
      <x:c r="A43" s="2"/>
      <x:c r="B43" s="2"/>
      <x:c r="C43" s="2"/>
      <x:c r="D43" s="2"/>
      <x:c r="E43" s="5"/>
      <x:c r="F43" s="5"/>
      <x:c r="G43" s="5"/>
      <x:c r="H43" s="2"/>
      <x:c r="I43" s="2"/>
      <x:c r="J43" s="2"/>
      <x:c r="K43" s="2"/>
      <x:c r="L43" s="2"/>
    </x:row>
    <x:row r="44" ht="23" customHeight="1">
      <x:c r="A44" s="2"/>
      <x:c r="B44" s="2"/>
      <x:c r="C44" s="2"/>
      <x:c r="D44" s="2"/>
      <x:c r="E44" s="5"/>
      <x:c r="F44" s="5"/>
      <x:c r="G44" s="5"/>
      <x:c r="H44" s="2"/>
      <x:c r="I44" s="2"/>
      <x:c r="J44" s="2"/>
      <x:c r="K44" s="2"/>
      <x:c r="L44" s="2"/>
    </x:row>
    <x:row r="45" ht="23" customHeight="1">
      <x:c r="A45" s="2"/>
      <x:c r="B45" s="2"/>
      <x:c r="C45" s="2"/>
      <x:c r="D45" s="2"/>
      <x:c r="E45" s="5"/>
      <x:c r="F45" s="5"/>
      <x:c r="G45" s="5"/>
      <x:c r="H45" s="2"/>
      <x:c r="I45" s="2"/>
      <x:c r="J45" s="2"/>
      <x:c r="K45" s="2"/>
      <x:c r="L45" s="2"/>
    </x:row>
    <x:row r="46" ht="23" customHeight="1">
      <x:c r="A46" s="2"/>
      <x:c r="B46" s="2"/>
      <x:c r="C46" s="2"/>
      <x:c r="D46" s="2"/>
      <x:c r="E46" s="5"/>
      <x:c r="F46" s="5"/>
      <x:c r="G46" s="5"/>
      <x:c r="H46" s="2"/>
      <x:c r="I46" s="2"/>
      <x:c r="J46" s="2"/>
      <x:c r="K46" s="2"/>
      <x:c r="L46" s="2"/>
    </x:row>
    <x:row r="47" ht="23" customHeight="1">
      <x:c r="A47" s="2"/>
      <x:c r="B47" s="2"/>
      <x:c r="C47" s="2"/>
      <x:c r="D47" s="2"/>
      <x:c r="E47" s="5"/>
      <x:c r="F47" s="5"/>
      <x:c r="G47" s="5"/>
      <x:c r="H47" s="2"/>
      <x:c r="I47" s="2"/>
      <x:c r="J47" s="2"/>
      <x:c r="K47" s="2"/>
      <x:c r="L47" s="2"/>
    </x:row>
    <x:row r="48" ht="23" customHeight="1">
      <x:c r="A48" s="2"/>
      <x:c r="B48" s="2"/>
      <x:c r="C48" s="2"/>
      <x:c r="D48" s="2"/>
      <x:c r="E48" s="5"/>
      <x:c r="F48" s="5"/>
      <x:c r="G48" s="5"/>
      <x:c r="H48" s="2"/>
      <x:c r="I48" s="2"/>
      <x:c r="J48" s="2"/>
      <x:c r="K48" s="2"/>
      <x:c r="L48" s="2"/>
    </x:row>
    <x:row r="49" ht="23" customHeight="1">
      <x:c r="A49" s="2"/>
      <x:c r="B49" s="2"/>
      <x:c r="C49" s="2"/>
      <x:c r="D49" s="2"/>
      <x:c r="E49" s="5"/>
      <x:c r="F49" s="5"/>
      <x:c r="G49" s="5"/>
      <x:c r="H49" s="2"/>
      <x:c r="I49" s="2"/>
      <x:c r="J49" s="2"/>
      <x:c r="K49" s="2"/>
      <x:c r="L49" s="2"/>
    </x:row>
    <x:row r="50" ht="23" customHeight="1">
      <x:c r="A50" s="2"/>
      <x:c r="B50" s="2"/>
      <x:c r="C50" s="2"/>
      <x:c r="D50" s="2"/>
      <x:c r="E50" s="5"/>
      <x:c r="F50" s="5"/>
      <x:c r="G50" s="5"/>
      <x:c r="H50" s="2"/>
      <x:c r="I50" s="2"/>
      <x:c r="J50" s="2"/>
      <x:c r="K50" s="2"/>
      <x:c r="L50" s="2"/>
    </x:row>
    <x:row r="51" ht="23" customHeight="1">
      <x:c r="A51" s="2"/>
      <x:c r="B51" s="2"/>
      <x:c r="C51" s="2"/>
      <x:c r="D51" s="2"/>
      <x:c r="E51" s="5"/>
      <x:c r="F51" s="5"/>
      <x:c r="G51" s="5"/>
      <x:c r="H51" s="2"/>
      <x:c r="I51" s="2"/>
      <x:c r="J51" s="2"/>
      <x:c r="K51" s="2"/>
      <x:c r="L51" s="2"/>
    </x:row>
    <x:row r="52" ht="23" customHeight="1">
      <x:c r="A52" s="2"/>
      <x:c r="B52" s="2"/>
      <x:c r="C52" s="2"/>
      <x:c r="D52" s="2"/>
      <x:c r="E52" s="5"/>
      <x:c r="F52" s="5"/>
      <x:c r="G52" s="5"/>
      <x:c r="H52" s="2"/>
      <x:c r="I52" s="2"/>
      <x:c r="J52" s="2"/>
      <x:c r="K52" s="2"/>
      <x:c r="L52" s="2"/>
    </x:row>
    <x:row r="53" ht="23" customHeight="1">
      <x:c r="A53" s="2"/>
      <x:c r="B53" s="2"/>
      <x:c r="C53" s="2"/>
      <x:c r="D53" s="2"/>
      <x:c r="E53" s="5"/>
      <x:c r="F53" s="5"/>
      <x:c r="G53" s="5"/>
      <x:c r="H53" s="2"/>
      <x:c r="I53" s="2"/>
      <x:c r="J53" s="2"/>
      <x:c r="K53" s="2"/>
      <x:c r="L53" s="2"/>
    </x:row>
    <x:row r="54" ht="23" customHeight="1">
      <x:c r="A54" s="2"/>
      <x:c r="B54" s="2"/>
      <x:c r="C54" s="2"/>
      <x:c r="D54" s="2"/>
      <x:c r="E54" s="5"/>
      <x:c r="F54" s="5"/>
      <x:c r="G54" s="5"/>
      <x:c r="H54" s="2"/>
      <x:c r="I54" s="2"/>
      <x:c r="J54" s="2"/>
      <x:c r="K54" s="2"/>
      <x:c r="L54" s="2"/>
    </x:row>
    <x:row r="55" ht="23" customHeight="1">
      <x:c r="A55" s="2"/>
      <x:c r="B55" s="2"/>
      <x:c r="C55" s="2"/>
      <x:c r="D55" s="2"/>
      <x:c r="E55" s="5"/>
      <x:c r="F55" s="5"/>
      <x:c r="G55" s="5"/>
      <x:c r="H55" s="2"/>
      <x:c r="I55" s="2"/>
      <x:c r="J55" s="2"/>
      <x:c r="K55" s="2"/>
      <x:c r="L55" s="2"/>
    </x:row>
    <x:row r="56" ht="23" customHeight="1">
      <x:c r="A56" s="2"/>
      <x:c r="B56" s="2"/>
      <x:c r="C56" s="2"/>
      <x:c r="D56" s="2"/>
      <x:c r="E56" s="5"/>
      <x:c r="F56" s="5"/>
      <x:c r="G56" s="5"/>
      <x:c r="H56" s="2"/>
      <x:c r="I56" s="2"/>
      <x:c r="J56" s="2"/>
      <x:c r="K56" s="2"/>
      <x:c r="L56" s="2"/>
    </x:row>
    <x:row r="57" ht="23" customHeight="1">
      <x:c r="A57" s="2"/>
      <x:c r="B57" s="2"/>
      <x:c r="C57" s="2"/>
      <x:c r="D57" s="2"/>
      <x:c r="E57" s="5"/>
      <x:c r="F57" s="5"/>
      <x:c r="G57" s="5"/>
      <x:c r="H57" s="2"/>
      <x:c r="I57" s="2"/>
      <x:c r="J57" s="2"/>
      <x:c r="K57" s="2"/>
      <x:c r="L57" s="2"/>
    </x:row>
    <x:row r="58" ht="23" customHeight="1">
      <x:c r="A58" s="2"/>
      <x:c r="B58" s="2"/>
      <x:c r="C58" s="2"/>
      <x:c r="D58" s="2"/>
      <x:c r="E58" s="5"/>
      <x:c r="F58" s="5"/>
      <x:c r="G58" s="5"/>
      <x:c r="H58" s="2"/>
      <x:c r="I58" s="2"/>
      <x:c r="J58" s="2"/>
      <x:c r="K58" s="2"/>
      <x:c r="L58" s="2"/>
    </x:row>
    <x:row r="59" ht="23" customHeight="1">
      <x:c r="A59" s="2"/>
      <x:c r="B59" s="2"/>
      <x:c r="C59" s="2"/>
      <x:c r="D59" s="2"/>
      <x:c r="E59" s="5"/>
      <x:c r="F59" s="5"/>
      <x:c r="G59" s="5"/>
      <x:c r="H59" s="2"/>
      <x:c r="I59" s="2"/>
      <x:c r="J59" s="2"/>
      <x:c r="K59" s="2"/>
      <x:c r="L59" s="2"/>
    </x:row>
    <x:row r="60" ht="23" customHeight="1">
      <x:c r="A60" s="2"/>
      <x:c r="B60" s="2"/>
      <x:c r="C60" s="2"/>
      <x:c r="D60" s="2"/>
      <x:c r="E60" s="5"/>
      <x:c r="F60" s="5"/>
      <x:c r="G60" s="5"/>
      <x:c r="H60" s="2"/>
      <x:c r="I60" s="2"/>
      <x:c r="J60" s="2"/>
      <x:c r="K60" s="2"/>
      <x:c r="L60" s="2"/>
    </x:row>
    <x:row r="61" ht="23" customHeight="1">
      <x:c r="A61" s="2"/>
      <x:c r="B61" s="2"/>
      <x:c r="C61" s="2"/>
      <x:c r="D61" s="2"/>
      <x:c r="E61" s="5"/>
      <x:c r="F61" s="5"/>
      <x:c r="G61" s="5"/>
      <x:c r="H61" s="2"/>
      <x:c r="I61" s="2"/>
      <x:c r="J61" s="2"/>
      <x:c r="K61" s="2"/>
      <x:c r="L61" s="2"/>
    </x:row>
    <x:row r="62" ht="23" customHeight="1">
      <x:c r="A62" s="2"/>
      <x:c r="B62" s="2"/>
      <x:c r="C62" s="2"/>
      <x:c r="D62" s="2"/>
      <x:c r="E62" s="5"/>
      <x:c r="F62" s="5"/>
      <x:c r="G62" s="5"/>
      <x:c r="H62" s="2"/>
      <x:c r="I62" s="2"/>
      <x:c r="J62" s="2"/>
      <x:c r="K62" s="2"/>
      <x:c r="L62" s="2"/>
    </x:row>
    <x:row r="63" ht="23" customHeight="1">
      <x:c r="A63" s="2"/>
      <x:c r="B63" s="2"/>
      <x:c r="C63" s="2"/>
      <x:c r="D63" s="2"/>
      <x:c r="E63" s="5"/>
      <x:c r="F63" s="5"/>
      <x:c r="G63" s="5"/>
      <x:c r="H63" s="2"/>
      <x:c r="I63" s="2"/>
      <x:c r="J63" s="2"/>
      <x:c r="K63" s="2"/>
      <x:c r="L63" s="2"/>
    </x:row>
    <x:row r="64" ht="23" customHeight="1">
      <x:c r="A64" s="2"/>
      <x:c r="B64" s="2"/>
      <x:c r="C64" s="2"/>
      <x:c r="D64" s="2"/>
      <x:c r="E64" s="5"/>
      <x:c r="F64" s="5"/>
      <x:c r="G64" s="5"/>
      <x:c r="H64" s="2"/>
      <x:c r="I64" s="2"/>
      <x:c r="J64" s="2"/>
      <x:c r="K64" s="2"/>
      <x:c r="L64" s="2"/>
    </x:row>
    <x:row r="65" ht="23" customHeight="1">
      <x:c r="A65" s="2"/>
      <x:c r="B65" s="2"/>
      <x:c r="C65" s="2"/>
      <x:c r="D65" s="2"/>
      <x:c r="E65" s="5"/>
      <x:c r="F65" s="5"/>
      <x:c r="G65" s="5"/>
      <x:c r="H65" s="2"/>
      <x:c r="I65" s="2"/>
      <x:c r="J65" s="2"/>
      <x:c r="K65" s="2"/>
      <x:c r="L65" s="2"/>
    </x:row>
    <x:row r="66" ht="23" customHeight="1">
      <x:c r="A66" s="2"/>
      <x:c r="B66" s="2"/>
      <x:c r="C66" s="2"/>
      <x:c r="D66" s="2"/>
      <x:c r="E66" s="5"/>
      <x:c r="F66" s="5"/>
      <x:c r="G66" s="5"/>
      <x:c r="H66" s="2"/>
      <x:c r="I66" s="2"/>
      <x:c r="J66" s="2"/>
      <x:c r="K66" s="2"/>
      <x:c r="L66" s="2"/>
    </x:row>
    <x:row r="67" ht="23" customHeight="1">
      <x:c r="A67" s="2"/>
      <x:c r="B67" s="2"/>
      <x:c r="C67" s="2"/>
      <x:c r="D67" s="2"/>
      <x:c r="E67" s="5"/>
      <x:c r="F67" s="5"/>
      <x:c r="G67" s="5"/>
      <x:c r="H67" s="2"/>
      <x:c r="I67" s="2"/>
      <x:c r="J67" s="2"/>
      <x:c r="K67" s="2"/>
      <x:c r="L67" s="2"/>
    </x:row>
    <x:row r="68" ht="23" customHeight="1">
      <x:c r="A68" s="2"/>
      <x:c r="B68" s="2"/>
      <x:c r="C68" s="2"/>
      <x:c r="D68" s="2"/>
      <x:c r="E68" s="5"/>
      <x:c r="F68" s="5"/>
      <x:c r="G68" s="5"/>
      <x:c r="H68" s="2"/>
      <x:c r="I68" s="2"/>
      <x:c r="J68" s="2"/>
      <x:c r="K68" s="2"/>
      <x:c r="L68" s="2"/>
    </x:row>
    <x:row r="69" ht="23" customHeight="1">
      <x:c r="A69" s="2"/>
      <x:c r="B69" s="2"/>
      <x:c r="C69" s="2"/>
      <x:c r="D69" s="2"/>
      <x:c r="E69" s="5"/>
      <x:c r="F69" s="5"/>
      <x:c r="G69" s="5"/>
      <x:c r="H69" s="2"/>
      <x:c r="I69" s="2"/>
      <x:c r="J69" s="2"/>
      <x:c r="K69" s="2"/>
      <x:c r="L69" s="2"/>
    </x:row>
    <x:row r="70" ht="23" customHeight="1">
      <x:c r="A70" s="2"/>
      <x:c r="B70" s="2"/>
      <x:c r="C70" s="2"/>
      <x:c r="D70" s="2"/>
      <x:c r="E70" s="5"/>
      <x:c r="F70" s="5"/>
      <x:c r="G70" s="5"/>
      <x:c r="H70" s="2"/>
      <x:c r="I70" s="2"/>
      <x:c r="J70" s="2"/>
      <x:c r="K70" s="2"/>
      <x:c r="L70" s="2"/>
    </x:row>
  </x:sheetData>
  <x:mergeCells>
    <x:mergeCell ref="C2:K2"/>
    <x:mergeCell ref="E4:G4"/>
    <x:mergeCell ref="C36:K36"/>
    <x:mergeCell ref="C38:K38"/>
    <x:mergeCell ref="C40:K40"/>
    <x:mergeCell ref="C42:K42"/>
  </x:mergeCells>
  <x:conditionalFormatting sqref="E26:E26">
    <x:cfRule type="cellIs" dxfId="0" priority="1" operator="lessThan">
      <x:formula>0</x:formula>
    </x:cfRule>
  </x:conditionalFormatting>
  <x:conditionalFormatting sqref="E28:E28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  <x:col min="9" max="9" width="34" hidden="0" customWidth="1"/>
    <x:col min="10" max="10" width="34" hidden="0" customWidth="1"/>
    <x:col min="11" max="11" width="34" hidden="0" customWidth="1"/>
    <x:col min="12" max="12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2"/>
      <x:c r="B2" s="2"/>
      <x:c r="C2" s="3" t="str">
        <x:v>Sources &amp; Data</x:v>
      </x:c>
      <x:c r="D2" s="3"/>
      <x:c r="E2" s="3"/>
      <x:c r="F2" s="3"/>
      <x:c r="G2" s="3"/>
      <x:c r="H2" s="3"/>
      <x:c r="I2" s="3"/>
      <x:c r="J2" s="3"/>
      <x:c r="K2" s="3"/>
      <x:c r="L2" s="2"/>
    </x:row>
    <x:row r="3" ht="23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2"/>
    </x:row>
    <x:row r="4" ht="23" customHeight="1">
      <x:c r="A4" s="2"/>
      <x:c r="B4" s="2"/>
      <x:c r="C4" s="2" t="str">
        <x:v>Original report values in INR lakh. FY2023 supports opening balances and FY2024 growth only.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/>
      <x:c r="B5" s="2"/>
      <x:c r="C5" s="2"/>
      <x:c r="D5" s="2"/>
      <x:c r="E5" s="5"/>
      <x:c r="F5" s="5"/>
      <x:c r="G5" s="5"/>
      <x:c r="H5" s="2"/>
      <x:c r="I5" s="2"/>
      <x:c r="J5" s="2"/>
      <x:c r="K5" s="2"/>
      <x:c r="L5" s="2"/>
    </x:row>
    <x:row r="6" ht="23" customHeight="1">
      <x:c r="A6" s="2"/>
      <x:c r="B6" s="2"/>
      <x:c r="C6" s="21" t="str">
        <x:v>Reported metric</x:v>
      </x:c>
      <x:c r="D6" s="21" t="str">
        <x:v>FY2023 ref</x:v>
      </x:c>
      <x:c r="E6" s="22" t="str">
        <x:v>FY2024</x:v>
      </x:c>
      <x:c r="F6" s="22" t="str">
        <x:v>FY2025</x:v>
      </x:c>
      <x:c r="G6" s="22" t="str">
        <x:v>FY2026</x:v>
      </x:c>
      <x:c r="H6" s="2"/>
      <x:c r="I6" s="21" t="str">
        <x:v>FY2024 source</x:v>
      </x:c>
      <x:c r="J6" s="21" t="str">
        <x:v>FY2025 source</x:v>
      </x:c>
      <x:c r="K6" s="21" t="str">
        <x:v>FY2026 source</x:v>
      </x:c>
      <x:c r="L6" s="2"/>
    </x:row>
    <x:row r="7" ht="34" customHeight="1">
      <x:c r="A7" s="2"/>
      <x:c r="B7" s="2"/>
      <x:c r="C7" s="2" t="str">
        <x:v>Revenue from operations</x:v>
      </x:c>
      <x:c r="D7" s="25" t="n">
        <x:v>1219201</x:v>
      </x:c>
      <x:c r="E7" s="25" t="n">
        <x:v>1769090</x:v>
      </x:c>
      <x:c r="F7" s="25" t="n">
        <x:v>3886010</x:v>
      </x:c>
      <x:c r="G7" s="25" t="n">
        <x:v>4887280</x:v>
      </x:c>
      <x:c r="H7" s="2"/>
      <x:c r="I7" s="31" t="str">
        <x:v>FY2025 report p323 (PDF274)</x:v>
      </x:c>
      <x:c r="J7" s="31" t="str">
        <x:v>FY2026 report p409 (PDF346)</x:v>
      </x:c>
      <x:c r="K7" s="31" t="str">
        <x:v>FY2026 report p409 (PDF346)</x:v>
      </x:c>
      <x:c r="L7" s="2"/>
    </x:row>
    <x:row r="8" ht="34" customHeight="1">
      <x:c r="A8" s="2"/>
      <x:c r="B8" s="2"/>
      <x:c r="C8" s="2" t="str">
        <x:v>Other income</x:v>
      </x:c>
      <x:c r="D8" s="25" t="n">
        <x:v>561</x:v>
      </x:c>
      <x:c r="E8" s="25" t="n">
        <x:v>2256</x:v>
      </x:c>
      <x:c r="F8" s="25" t="n">
        <x:v>2023</x:v>
      </x:c>
      <x:c r="G8" s="25" t="n">
        <x:v>71304</x:v>
      </x:c>
      <x:c r="H8" s="2"/>
      <x:c r="I8" s="31" t="str">
        <x:v>FY2025 report p323 (PDF274)</x:v>
      </x:c>
      <x:c r="J8" s="31" t="str">
        <x:v>FY2026 report p409 (PDF346)</x:v>
      </x:c>
      <x:c r="K8" s="31" t="str">
        <x:v>FY2026 report p409 (PDF346)</x:v>
      </x:c>
      <x:c r="L8" s="2"/>
    </x:row>
    <x:row r="9" ht="34" customHeight="1">
      <x:c r="A9" s="2"/>
      <x:c r="B9" s="2"/>
      <x:c r="C9" s="2" t="str">
        <x:v>Cost of materials consumed</x:v>
      </x:c>
      <x:c r="D9" s="25" t="n">
        <x:v>1101517</x:v>
      </x:c>
      <x:c r="E9" s="25" t="n">
        <x:v>1614242</x:v>
      </x:c>
      <x:c r="F9" s="25" t="n">
        <x:v>3609981</x:v>
      </x:c>
      <x:c r="G9" s="25" t="n">
        <x:v>4546038</x:v>
      </x:c>
      <x:c r="H9" s="2"/>
      <x:c r="I9" s="31" t="str">
        <x:v>FY2025 report p323 (PDF274)</x:v>
      </x:c>
      <x:c r="J9" s="31" t="str">
        <x:v>FY2026 report p409 (PDF346)</x:v>
      </x:c>
      <x:c r="K9" s="31" t="str">
        <x:v>FY2026 report p409 (PDF346)</x:v>
      </x:c>
      <x:c r="L9" s="2"/>
    </x:row>
    <x:row r="10" ht="34" customHeight="1">
      <x:c r="A10" s="2"/>
      <x:c r="B10" s="2"/>
      <x:c r="C10" s="2" t="str">
        <x:v>Inventory change expense</x:v>
      </x:c>
      <x:c r="D10" s="25" t="n">
        <x:v>557</x:v>
      </x:c>
      <x:c r="E10" s="25" t="n">
        <x:v>-10347</x:v>
      </x:c>
      <x:c r="F10" s="25" t="n">
        <x:v>-26699</x:v>
      </x:c>
      <x:c r="G10" s="25" t="n">
        <x:v>-18320</x:v>
      </x:c>
      <x:c r="H10" s="2"/>
      <x:c r="I10" s="31" t="str">
        <x:v>FY2025 report p323 (PDF274)</x:v>
      </x:c>
      <x:c r="J10" s="31" t="str">
        <x:v>FY2026 report p409 (PDF346)</x:v>
      </x:c>
      <x:c r="K10" s="31" t="str">
        <x:v>FY2026 report p409 (PDF346)</x:v>
      </x:c>
      <x:c r="L10" s="2"/>
    </x:row>
    <x:row r="11" ht="34" customHeight="1">
      <x:c r="A11" s="2"/>
      <x:c r="B11" s="2"/>
      <x:c r="C11" s="2" t="str">
        <x:v>Employee benefits expense</x:v>
      </x:c>
      <x:c r="D11" s="25" t="n">
        <x:v>25167</x:v>
      </x:c>
      <x:c r="E11" s="25" t="n">
        <x:v>33267</x:v>
      </x:c>
      <x:c r="F11" s="25" t="n">
        <x:v>56742</x:v>
      </x:c>
      <x:c r="G11" s="25" t="n">
        <x:v>71115</x:v>
      </x:c>
      <x:c r="H11" s="2"/>
      <x:c r="I11" s="31" t="str">
        <x:v>FY2025 report p323 (PDF274)</x:v>
      </x:c>
      <x:c r="J11" s="31" t="str">
        <x:v>FY2026 report p409 (PDF346)</x:v>
      </x:c>
      <x:c r="K11" s="31" t="str">
        <x:v>FY2026 report p409 (PDF346)</x:v>
      </x:c>
      <x:c r="L11" s="2"/>
    </x:row>
    <x:row r="12" ht="34" customHeight="1">
      <x:c r="A12" s="2"/>
      <x:c r="B12" s="2"/>
      <x:c r="C12" s="2" t="str">
        <x:v>Other expenses</x:v>
      </x:c>
      <x:c r="D12" s="25" t="n">
        <x:v>40685</x:v>
      </x:c>
      <x:c r="E12" s="25" t="n">
        <x:v>62165</x:v>
      </x:c>
      <x:c r="F12" s="25" t="n">
        <x:v>95228</x:v>
      </x:c>
      <x:c r="G12" s="25" t="n">
        <x:v>101795</x:v>
      </x:c>
      <x:c r="H12" s="2"/>
      <x:c r="I12" s="31" t="str">
        <x:v>FY2025 report p323 (PDF274)</x:v>
      </x:c>
      <x:c r="J12" s="31" t="str">
        <x:v>FY2026 report p409 (PDF346)</x:v>
      </x:c>
      <x:c r="K12" s="31" t="str">
        <x:v>FY2026 report p409 (PDF346)</x:v>
      </x:c>
      <x:c r="L12" s="2"/>
    </x:row>
    <x:row r="13" ht="34" customHeight="1">
      <x:c r="A13" s="2"/>
      <x:c r="B13" s="2"/>
      <x:c r="C13" s="2" t="str">
        <x:v>Depreciation and amortisation</x:v>
      </x:c>
      <x:c r="D13" s="25" t="n">
        <x:v>11463</x:v>
      </x:c>
      <x:c r="E13" s="25" t="n">
        <x:v>16188</x:v>
      </x:c>
      <x:c r="F13" s="25" t="n">
        <x:v>28102</x:v>
      </x:c>
      <x:c r="G13" s="25" t="n">
        <x:v>39298</x:v>
      </x:c>
      <x:c r="H13" s="2"/>
      <x:c r="I13" s="31" t="str">
        <x:v>FY2025 report p323 (PDF274)</x:v>
      </x:c>
      <x:c r="J13" s="31" t="str">
        <x:v>FY2026 report p409 (PDF346)</x:v>
      </x:c>
      <x:c r="K13" s="31" t="str">
        <x:v>FY2026 report p409 (PDF346)</x:v>
      </x:c>
      <x:c r="L13" s="2"/>
    </x:row>
    <x:row r="14" ht="34" customHeight="1">
      <x:c r="A14" s="2"/>
      <x:c r="B14" s="2"/>
      <x:c r="C14" s="2" t="str">
        <x:v>Finance costs</x:v>
      </x:c>
      <x:c r="D14" s="25" t="n">
        <x:v>6057</x:v>
      </x:c>
      <x:c r="E14" s="25" t="n">
        <x:v>7472</x:v>
      </x:c>
      <x:c r="F14" s="25" t="n">
        <x:v>15435</x:v>
      </x:c>
      <x:c r="G14" s="25" t="n">
        <x:v>13747</x:v>
      </x:c>
      <x:c r="H14" s="2"/>
      <x:c r="I14" s="31" t="str">
        <x:v>FY2025 report p323 (PDF274)</x:v>
      </x:c>
      <x:c r="J14" s="31" t="str">
        <x:v>FY2026 report p409 (PDF346)</x:v>
      </x:c>
      <x:c r="K14" s="31" t="str">
        <x:v>FY2026 report p409 (PDF346)</x:v>
      </x:c>
      <x:c r="L14" s="2"/>
    </x:row>
    <x:row r="15" ht="34" customHeight="1">
      <x:c r="A15" s="2"/>
      <x:c r="B15" s="2"/>
      <x:c r="C15" s="2" t="str">
        <x:v>Share of joint venture profit</x:v>
      </x:c>
      <x:c r="D15" s="25" t="n">
        <x:v>162</x:v>
      </x:c>
      <x:c r="E15" s="25" t="n">
        <x:v>1024</x:v>
      </x:c>
      <x:c r="F15" s="25" t="n">
        <x:v>1738</x:v>
      </x:c>
      <x:c r="G15" s="25" t="n">
        <x:v>2145</x:v>
      </x:c>
      <x:c r="H15" s="2"/>
      <x:c r="I15" s="31" t="str">
        <x:v>FY2025 report p323 (PDF274)</x:v>
      </x:c>
      <x:c r="J15" s="31" t="str">
        <x:v>FY2026 report p409 (PDF346)</x:v>
      </x:c>
      <x:c r="K15" s="31" t="str">
        <x:v>FY2026 report p409 (PDF346)</x:v>
      </x:c>
      <x:c r="L15" s="2"/>
    </x:row>
    <x:row r="16" ht="34" customHeight="1">
      <x:c r="A16" s="2"/>
      <x:c r="B16" s="2"/>
      <x:c r="C16" s="2" t="str">
        <x:v>Exceptional gain</x:v>
      </x:c>
      <x:c r="D16" s="25" t="n">
        <x:v>0</x:v>
      </x:c>
      <x:c r="E16" s="25" t="n">
        <x:v>0</x:v>
      </x:c>
      <x:c r="F16" s="25" t="n">
        <x:v>45998</x:v>
      </x:c>
      <x:c r="G16" s="25" t="n">
        <x:v>0</x:v>
      </x:c>
      <x:c r="H16" s="2"/>
      <x:c r="I16" s="31" t="str">
        <x:v>FY2025 report p323 (PDF274)</x:v>
      </x:c>
      <x:c r="J16" s="31" t="str">
        <x:v>FY2026 report p409 (PDF346)</x:v>
      </x:c>
      <x:c r="K16" s="31" t="str">
        <x:v>FY2026 report p409 (PDF346)</x:v>
      </x:c>
      <x:c r="L16" s="2"/>
    </x:row>
    <x:row r="17" ht="34" customHeight="1">
      <x:c r="A17" s="2"/>
      <x:c r="B17" s="2"/>
      <x:c r="C17" s="2" t="str">
        <x:v>Total tax expense</x:v>
      </x:c>
      <x:c r="D17" s="25" t="n">
        <x:v>8970</x:v>
      </x:c>
      <x:c r="E17" s="25" t="n">
        <x:v>11891</x:v>
      </x:c>
      <x:c r="F17" s="25" t="n">
        <x:v>33722</x:v>
      </x:c>
      <x:c r="G17" s="25" t="n">
        <x:v>42631</x:v>
      </x:c>
      <x:c r="H17" s="2"/>
      <x:c r="I17" s="31" t="str">
        <x:v>FY2025 report p323 (PDF274)</x:v>
      </x:c>
      <x:c r="J17" s="31" t="str">
        <x:v>FY2026 report p409 (PDF346)</x:v>
      </x:c>
      <x:c r="K17" s="31" t="str">
        <x:v>FY2026 report p409 (PDF346)</x:v>
      </x:c>
      <x:c r="L17" s="2"/>
    </x:row>
    <x:row r="18" ht="34" customHeight="1">
      <x:c r="A18" s="2"/>
      <x:c r="B18" s="2"/>
      <x:c r="C18" s="2" t="str">
        <x:v>Group profit after tax</x:v>
      </x:c>
      <x:c r="D18" s="25" t="n">
        <x:v>25508</x:v>
      </x:c>
      <x:c r="E18" s="25" t="n">
        <x:v>37492</x:v>
      </x:c>
      <x:c r="F18" s="25" t="n">
        <x:v>123258</x:v>
      </x:c>
      <x:c r="G18" s="25" t="n">
        <x:v>164425</x:v>
      </x:c>
      <x:c r="H18" s="2"/>
      <x:c r="I18" s="31" t="str">
        <x:v>FY2025 report p323 (PDF274)</x:v>
      </x:c>
      <x:c r="J18" s="31" t="str">
        <x:v>FY2026 report p409 (PDF346)</x:v>
      </x:c>
      <x:c r="K18" s="31" t="str">
        <x:v>FY2026 report p409 (PDF346)</x:v>
      </x:c>
      <x:c r="L18" s="2"/>
    </x:row>
    <x:row r="19" ht="34" customHeight="1">
      <x:c r="A19" s="2"/>
      <x:c r="B19" s="2"/>
      <x:c r="C19" s="2" t="str">
        <x:v>PAT attributable to owners</x:v>
      </x:c>
      <x:c r="D19" s="25" t="n">
        <x:v>25552</x:v>
      </x:c>
      <x:c r="E19" s="25" t="n">
        <x:v>36775</x:v>
      </x:c>
      <x:c r="F19" s="25" t="n">
        <x:v>109554</x:v>
      </x:c>
      <x:c r="G19" s="25" t="n">
        <x:v>143864</x:v>
      </x:c>
      <x:c r="H19" s="2"/>
      <x:c r="I19" s="31" t="str">
        <x:v>FY2025 report p323 (PDF274)</x:v>
      </x:c>
      <x:c r="J19" s="31" t="str">
        <x:v>FY2026 report p409 (PDF346)</x:v>
      </x:c>
      <x:c r="K19" s="31" t="str">
        <x:v>FY2026 report p409 (PDF346)</x:v>
      </x:c>
      <x:c r="L19" s="2"/>
    </x:row>
    <x:row r="20" ht="34" customHeight="1">
      <x:c r="A20" s="2"/>
      <x:c r="B20" s="2"/>
      <x:c r="C20" s="2" t="str">
        <x:v>Closing inventories</x:v>
      </x:c>
      <x:c r="D20" s="25" t="n">
        <x:v>95787</x:v>
      </x:c>
      <x:c r="E20" s="25" t="n">
        <x:v>169501</x:v>
      </x:c>
      <x:c r="F20" s="25" t="n">
        <x:v>399240</x:v>
      </x:c>
      <x:c r="G20" s="25" t="n">
        <x:v>383652</x:v>
      </x:c>
      <x:c r="H20" s="2"/>
      <x:c r="I20" s="31" t="str">
        <x:v>FY2025 report p322 (PDF273)</x:v>
      </x:c>
      <x:c r="J20" s="31" t="str">
        <x:v>FY2026 report p408 (PDF345)</x:v>
      </x:c>
      <x:c r="K20" s="31" t="str">
        <x:v>FY2026 report p408 (PDF345)</x:v>
      </x:c>
      <x:c r="L20" s="2"/>
    </x:row>
    <x:row r="21" ht="34" customHeight="1">
      <x:c r="A21" s="2"/>
      <x:c r="B21" s="2"/>
      <x:c r="C21" s="2" t="str">
        <x:v>Closing trade receivables (net)</x:v>
      </x:c>
      <x:c r="D21" s="25" t="n">
        <x:v>171545</x:v>
      </x:c>
      <x:c r="E21" s="25" t="n">
        <x:v>231788</x:v>
      </x:c>
      <x:c r="F21" s="25" t="n">
        <x:v>696545</x:v>
      </x:c>
      <x:c r="G21" s="25" t="n">
        <x:v>652991</x:v>
      </x:c>
      <x:c r="H21" s="2"/>
      <x:c r="I21" s="31" t="str">
        <x:v>FY2025 report p322 (PDF273)</x:v>
      </x:c>
      <x:c r="J21" s="31" t="str">
        <x:v>FY2026 report p408 (PDF345)</x:v>
      </x:c>
      <x:c r="K21" s="31" t="str">
        <x:v>FY2026 report p408 (PDF345)</x:v>
      </x:c>
      <x:c r="L21" s="2"/>
    </x:row>
    <x:row r="22" ht="34" customHeight="1">
      <x:c r="A22" s="2"/>
      <x:c r="B22" s="2"/>
      <x:c r="C22" s="2" t="str">
        <x:v>Current trade payables: MSE</x:v>
      </x:c>
      <x:c r="D22" s="25" t="n">
        <x:v>8709</x:v>
      </x:c>
      <x:c r="E22" s="25" t="n">
        <x:v>4599</x:v>
      </x:c>
      <x:c r="F22" s="25" t="n">
        <x:v>7830</x:v>
      </x:c>
      <x:c r="G22" s="25" t="n">
        <x:v>16643</x:v>
      </x:c>
      <x:c r="H22" s="2"/>
      <x:c r="I22" s="31" t="str">
        <x:v>FY2025 report p322 (PDF273)</x:v>
      </x:c>
      <x:c r="J22" s="31" t="str">
        <x:v>FY2026 report p408 (PDF345)</x:v>
      </x:c>
      <x:c r="K22" s="31" t="str">
        <x:v>FY2026 report p408 (PDF345)</x:v>
      </x:c>
      <x:c r="L22" s="2"/>
    </x:row>
    <x:row r="23" ht="34" customHeight="1">
      <x:c r="A23" s="2"/>
      <x:c r="B23" s="2"/>
      <x:c r="C23" s="2" t="str">
        <x:v>Current trade payables: other</x:v>
      </x:c>
      <x:c r="D23" s="25" t="n">
        <x:v>236479</x:v>
      </x:c>
      <x:c r="E23" s="25" t="n">
        <x:v>401376</x:v>
      </x:c>
      <x:c r="F23" s="25" t="n">
        <x:v>1080535</x:v>
      </x:c>
      <x:c r="G23" s="25" t="n">
        <x:v>1055575</x:v>
      </x:c>
      <x:c r="H23" s="2"/>
      <x:c r="I23" s="31" t="str">
        <x:v>FY2025 report p322 (PDF273)</x:v>
      </x:c>
      <x:c r="J23" s="31" t="str">
        <x:v>FY2026 report p408 (PDF345)</x:v>
      </x:c>
      <x:c r="K23" s="31" t="str">
        <x:v>FY2026 report p408 (PDF345)</x:v>
      </x:c>
      <x:c r="L23" s="2"/>
    </x:row>
    <x:row r="24" ht="34" customHeight="1">
      <x:c r="A24" s="2"/>
      <x:c r="B24" s="2"/>
      <x:c r="C24" s="2" t="str">
        <x:v>Non-current trade payables</x:v>
      </x:c>
      <x:c r="D24" s="25" t="n">
        <x:v>0</x:v>
      </x:c>
      <x:c r="E24" s="25" t="n">
        <x:v>546</x:v>
      </x:c>
      <x:c r="F24" s="25" t="n">
        <x:v>0</x:v>
      </x:c>
      <x:c r="G24" s="25" t="n">
        <x:v>0</x:v>
      </x:c>
      <x:c r="H24" s="2"/>
      <x:c r="I24" s="31" t="str">
        <x:v>FY2025 report p322 (PDF273)</x:v>
      </x:c>
      <x:c r="J24" s="31" t="str">
        <x:v>FY2026 report p408 (PDF345)</x:v>
      </x:c>
      <x:c r="K24" s="31" t="str">
        <x:v>FY2026 report p408 (PDF345)</x:v>
      </x:c>
      <x:c r="L24" s="2"/>
    </x:row>
    <x:row r="25" ht="34" customHeight="1">
      <x:c r="A25" s="2"/>
      <x:c r="B25" s="2"/>
      <x:c r="C25" s="2" t="str">
        <x:v>Raw material/component purchases</x:v>
      </x:c>
      <x:c r="D25" s="25"/>
      <x:c r="E25" s="25" t="n">
        <x:v>1662601</x:v>
      </x:c>
      <x:c r="F25" s="25" t="n">
        <x:v>3733199</x:v>
      </x:c>
      <x:c r="G25" s="25" t="n">
        <x:v>4536690</x:v>
      </x:c>
      <x:c r="H25" s="2"/>
      <x:c r="I25" s="31" t="str">
        <x:v>FY2025 report p368 (PDF319), note39</x:v>
      </x:c>
      <x:c r="J25" s="31" t="str">
        <x:v>FY2026 report p458 (PDF395), note38</x:v>
      </x:c>
      <x:c r="K25" s="31" t="str">
        <x:v>FY2026 report p458 (PDF395), note38</x:v>
      </x:c>
      <x:c r="L25" s="2"/>
    </x:row>
    <x:row r="26" ht="34" customHeight="1">
      <x:c r="A26" s="2"/>
      <x:c r="B26" s="2"/>
      <x:c r="C26" s="2" t="str">
        <x:v>Closing cash and cash equivalents</x:v>
      </x:c>
      <x:c r="D26" s="25" t="n">
        <x:v>21704</x:v>
      </x:c>
      <x:c r="E26" s="25" t="n">
        <x:v>20048</x:v>
      </x:c>
      <x:c r="F26" s="25" t="n">
        <x:v>23085</x:v>
      </x:c>
      <x:c r="G26" s="25" t="n">
        <x:v>76743</x:v>
      </x:c>
      <x:c r="H26" s="2"/>
      <x:c r="I26" s="31" t="str">
        <x:v>FY2025 report p322 (PDF273)</x:v>
      </x:c>
      <x:c r="J26" s="31" t="str">
        <x:v>FY2026 report p408 (PDF345)</x:v>
      </x:c>
      <x:c r="K26" s="31" t="str">
        <x:v>FY2026 report p408 (PDF345)</x:v>
      </x:c>
      <x:c r="L26" s="2"/>
    </x:row>
    <x:row r="27" ht="34" customHeight="1">
      <x:c r="A27" s="2"/>
      <x:c r="B27" s="2"/>
      <x:c r="C27" s="2" t="str">
        <x:v>Non-current borrowings</x:v>
      </x:c>
      <x:c r="D27" s="25" t="n">
        <x:v>14523</x:v>
      </x:c>
      <x:c r="E27" s="25" t="n">
        <x:v>11260</x:v>
      </x:c>
      <x:c r="F27" s="25" t="n">
        <x:v>8089</x:v>
      </x:c>
      <x:c r="G27" s="25" t="n">
        <x:v>35969</x:v>
      </x:c>
      <x:c r="H27" s="2"/>
      <x:c r="I27" s="31" t="str">
        <x:v>FY2025 report p322 (PDF273)</x:v>
      </x:c>
      <x:c r="J27" s="31" t="str">
        <x:v>FY2026 report p408 (PDF345)</x:v>
      </x:c>
      <x:c r="K27" s="31" t="str">
        <x:v>FY2026 report p408 (PDF345)</x:v>
      </x:c>
      <x:c r="L27" s="2"/>
    </x:row>
    <x:row r="28" ht="34" customHeight="1">
      <x:c r="A28" s="2"/>
      <x:c r="B28" s="2"/>
      <x:c r="C28" s="2" t="str">
        <x:v>Current borrowings</x:v>
      </x:c>
      <x:c r="D28" s="25" t="n">
        <x:v>3739</x:v>
      </x:c>
      <x:c r="E28" s="25" t="n">
        <x:v>4243</x:v>
      </x:c>
      <x:c r="F28" s="25" t="n">
        <x:v>12139</x:v>
      </x:c>
      <x:c r="G28" s="25" t="n">
        <x:v>10781</x:v>
      </x:c>
      <x:c r="H28" s="2"/>
      <x:c r="I28" s="31" t="str">
        <x:v>FY2025 report p322 (PDF273)</x:v>
      </x:c>
      <x:c r="J28" s="31" t="str">
        <x:v>FY2026 report p408 (PDF345)</x:v>
      </x:c>
      <x:c r="K28" s="31" t="str">
        <x:v>FY2026 report p408 (PDF345)</x:v>
      </x:c>
      <x:c r="L28" s="2"/>
    </x:row>
    <x:row r="29" ht="34" customHeight="1">
      <x:c r="A29" s="2"/>
      <x:c r="B29" s="2"/>
      <x:c r="C29" s="2" t="str">
        <x:v>Total current assets</x:v>
      </x:c>
      <x:c r="D29" s="25" t="n">
        <x:v>313927</x:v>
      </x:c>
      <x:c r="E29" s="25" t="n">
        <x:v>483628</x:v>
      </x:c>
      <x:c r="F29" s="25" t="n">
        <x:v>1309438</x:v>
      </x:c>
      <x:c r="G29" s="25" t="n">
        <x:v>1351539</x:v>
      </x:c>
      <x:c r="H29" s="2"/>
      <x:c r="I29" s="31" t="str">
        <x:v>FY2025 report p322 (PDF273)</x:v>
      </x:c>
      <x:c r="J29" s="31" t="str">
        <x:v>FY2026 report p408 (PDF345)</x:v>
      </x:c>
      <x:c r="K29" s="31" t="str">
        <x:v>FY2026 report p408 (PDF345)</x:v>
      </x:c>
      <x:c r="L29" s="2"/>
    </x:row>
    <x:row r="30" ht="34" customHeight="1">
      <x:c r="A30" s="2"/>
      <x:c r="B30" s="2"/>
      <x:c r="C30" s="2" t="str">
        <x:v>Total current liabilities</x:v>
      </x:c>
      <x:c r="D30" s="25" t="n">
        <x:v>294099</x:v>
      </x:c>
      <x:c r="E30" s="25" t="n">
        <x:v>473162</x:v>
      </x:c>
      <x:c r="F30" s="25" t="n">
        <x:v>1259544</x:v>
      </x:c>
      <x:c r="G30" s="25" t="n">
        <x:v>1269829</x:v>
      </x:c>
      <x:c r="H30" s="2"/>
      <x:c r="I30" s="31" t="str">
        <x:v>FY2025 report p322 (PDF273)</x:v>
      </x:c>
      <x:c r="J30" s="31" t="str">
        <x:v>FY2026 report p408 (PDF345)</x:v>
      </x:c>
      <x:c r="K30" s="31" t="str">
        <x:v>FY2026 report p408 (PDF345)</x:v>
      </x:c>
      <x:c r="L30" s="2"/>
    </x:row>
    <x:row r="31" ht="34" customHeight="1">
      <x:c r="A31" s="2"/>
      <x:c r="B31" s="2"/>
      <x:c r="C31" s="2" t="str">
        <x:v>Total assets</x:v>
      </x:c>
      <x:c r="D31" s="25" t="n">
        <x:v>467943</x:v>
      </x:c>
      <x:c r="E31" s="25" t="n">
        <x:v>699145</x:v>
      </x:c>
      <x:c r="F31" s="25" t="n">
        <x:v>1676687</x:v>
      </x:c>
      <x:c r="G31" s="25" t="n">
        <x:v>1916164</x:v>
      </x:c>
      <x:c r="H31" s="2"/>
      <x:c r="I31" s="31" t="str">
        <x:v>FY2025 report p322 (PDF273)</x:v>
      </x:c>
      <x:c r="J31" s="31" t="str">
        <x:v>FY2026 report p408 (PDF345)</x:v>
      </x:c>
      <x:c r="K31" s="31" t="str">
        <x:v>FY2026 report p408 (PDF345)</x:v>
      </x:c>
      <x:c r="L31" s="2"/>
    </x:row>
    <x:row r="32" ht="34" customHeight="1">
      <x:c r="A32" s="2"/>
      <x:c r="B32" s="2"/>
      <x:c r="C32" s="2" t="str">
        <x:v>Total equity including NCI</x:v>
      </x:c>
      <x:c r="D32" s="25" t="n">
        <x:v>128463</x:v>
      </x:c>
      <x:c r="E32" s="25" t="n">
        <x:v>172246</x:v>
      </x:c>
      <x:c r="F32" s="25" t="n">
        <x:v>346933</x:v>
      </x:c>
      <x:c r="G32" s="25" t="n">
        <x:v>538667</x:v>
      </x:c>
      <x:c r="H32" s="2"/>
      <x:c r="I32" s="31" t="str">
        <x:v>FY2025 report p322 (PDF273)</x:v>
      </x:c>
      <x:c r="J32" s="31" t="str">
        <x:v>FY2026 report p408 (PDF345)</x:v>
      </x:c>
      <x:c r="K32" s="31" t="str">
        <x:v>FY2026 report p408 (PDF345)</x:v>
      </x:c>
      <x:c r="L32" s="2"/>
    </x:row>
    <x:row r="33" ht="34" customHeight="1">
      <x:c r="A33" s="2"/>
      <x:c r="B33" s="2"/>
      <x:c r="C33" s="2" t="str">
        <x:v>Total liabilities</x:v>
      </x:c>
      <x:c r="D33" s="25" t="n">
        <x:v>339480</x:v>
      </x:c>
      <x:c r="E33" s="25" t="n">
        <x:v>526899</x:v>
      </x:c>
      <x:c r="F33" s="25" t="n">
        <x:v>1329754</x:v>
      </x:c>
      <x:c r="G33" s="25" t="n">
        <x:v>1377497</x:v>
      </x:c>
      <x:c r="H33" s="2"/>
      <x:c r="I33" s="31" t="str">
        <x:v>FY2025 report p322 (PDF273)</x:v>
      </x:c>
      <x:c r="J33" s="31" t="str">
        <x:v>FY2026 report p408 (PDF345)</x:v>
      </x:c>
      <x:c r="K33" s="31" t="str">
        <x:v>FY2026 report p408 (PDF345)</x:v>
      </x:c>
      <x:c r="L33" s="2"/>
    </x:row>
    <x:row r="34" ht="34" customHeight="1">
      <x:c r="A34" s="2"/>
      <x:c r="B34" s="2"/>
      <x:c r="C34" s="2" t="str">
        <x:v>Net operating cash flow</x:v>
      </x:c>
      <x:c r="D34" s="25"/>
      <x:c r="E34" s="25" t="n">
        <x:v>58431</x:v>
      </x:c>
      <x:c r="F34" s="25" t="n">
        <x:v>114975</x:v>
      </x:c>
      <x:c r="G34" s="25" t="n">
        <x:v>178229</x:v>
      </x:c>
      <x:c r="H34" s="2"/>
      <x:c r="I34" s="31" t="str">
        <x:v>FY2025 report p324 (PDF275)</x:v>
      </x:c>
      <x:c r="J34" s="31" t="str">
        <x:v>FY2026 report p410 (PDF347)</x:v>
      </x:c>
      <x:c r="K34" s="31" t="str">
        <x:v>FY2026 report p410 (PDF347)</x:v>
      </x:c>
      <x:c r="L34" s="2"/>
    </x:row>
    <x:row r="35" ht="34" customHeight="1">
      <x:c r="A35" s="2"/>
      <x:c r="B35" s="2"/>
      <x:c r="C35" s="2" t="str">
        <x:v>Cash capex outflow (positive)</x:v>
      </x:c>
      <x:c r="D35" s="25"/>
      <x:c r="E35" s="25" t="n">
        <x:v>58443</x:v>
      </x:c>
      <x:c r="F35" s="25" t="n">
        <x:v>93935</x:v>
      </x:c>
      <x:c r="G35" s="25" t="n">
        <x:v>106751</x:v>
      </x:c>
      <x:c r="H35" s="2"/>
      <x:c r="I35" s="31" t="str">
        <x:v>FY2025 report p324 (PDF275)</x:v>
      </x:c>
      <x:c r="J35" s="31" t="str">
        <x:v>FY2026 report p410 (PDF347)</x:v>
      </x:c>
      <x:c r="K35" s="31" t="str">
        <x:v>FY2026 report p410 (PDF347)</x:v>
      </x:c>
      <x:c r="L35" s="2"/>
    </x:row>
    <x:row r="36" ht="34" customHeight="1">
      <x:c r="A36" s="2"/>
      <x:c r="B36" s="2"/>
      <x:c r="C36" s="2" t="str">
        <x:v>Cash flow before WC changes</x:v>
      </x:c>
      <x:c r="D36" s="25"/>
      <x:c r="E36" s="25" t="n">
        <x:v>71491</x:v>
      </x:c>
      <x:c r="F36" s="25" t="n">
        <x:v>160733</x:v>
      </x:c>
      <x:c r="G36" s="25" t="n">
        <x:v>197356</x:v>
      </x:c>
      <x:c r="H36" s="2"/>
      <x:c r="I36" s="31" t="str">
        <x:v>FY2025 report p324 (PDF275)</x:v>
      </x:c>
      <x:c r="J36" s="31" t="str">
        <x:v>FY2026 report p410 (PDF347)</x:v>
      </x:c>
      <x:c r="K36" s="31" t="str">
        <x:v>FY2026 report p410 (PDF347)</x:v>
      </x:c>
      <x:c r="L36" s="2"/>
    </x:row>
    <x:row r="37" ht="34" customHeight="1">
      <x:c r="A37" s="2"/>
      <x:c r="B37" s="2"/>
      <x:c r="C37" s="2" t="str">
        <x:v>Cash generated before cash tax</x:v>
      </x:c>
      <x:c r="D37" s="25"/>
      <x:c r="E37" s="25" t="n">
        <x:v>70610</x:v>
      </x:c>
      <x:c r="F37" s="25" t="n">
        <x:v>142571</x:v>
      </x:c>
      <x:c r="G37" s="25" t="n">
        <x:v>219689</x:v>
      </x:c>
      <x:c r="H37" s="2"/>
      <x:c r="I37" s="31" t="str">
        <x:v>FY2025 report p324 (PDF275)</x:v>
      </x:c>
      <x:c r="J37" s="31" t="str">
        <x:v>FY2026 report p410 (PDF347)</x:v>
      </x:c>
      <x:c r="K37" s="31" t="str">
        <x:v>FY2026 report p410 (PDF347)</x:v>
      </x:c>
      <x:c r="L37" s="2"/>
    </x:row>
    <x:row r="38" ht="34" customHeight="1">
      <x:c r="A38" s="2"/>
      <x:c r="B38" s="2"/>
      <x:c r="C38" s="2" t="str">
        <x:v>Income tax paid (positive)</x:v>
      </x:c>
      <x:c r="D38" s="25"/>
      <x:c r="E38" s="25" t="n">
        <x:v>12179</x:v>
      </x:c>
      <x:c r="F38" s="25" t="n">
        <x:v>27596</x:v>
      </x:c>
      <x:c r="G38" s="25" t="n">
        <x:v>41460</x:v>
      </x:c>
      <x:c r="H38" s="2"/>
      <x:c r="I38" s="31" t="str">
        <x:v>FY2025 report p324 (PDF275)</x:v>
      </x:c>
      <x:c r="J38" s="31" t="str">
        <x:v>FY2026 report p410 (PDF347)</x:v>
      </x:c>
      <x:c r="K38" s="31" t="str">
        <x:v>FY2026 report p410 (PDF347)</x:v>
      </x:c>
      <x:c r="L38" s="2"/>
    </x:row>
    <x:row r="39" ht="34" customHeight="1">
      <x:c r="A39" s="2"/>
      <x:c r="B39" s="2"/>
      <x:c r="C39" s="2" t="str">
        <x:v>Inventory cash-flow adjustment</x:v>
      </x:c>
      <x:c r="D39" s="25"/>
      <x:c r="E39" s="25" t="n">
        <x:v>-73714</x:v>
      </x:c>
      <x:c r="F39" s="25" t="n">
        <x:v>-189930</x:v>
      </x:c>
      <x:c r="G39" s="25" t="n">
        <x:v>19599</x:v>
      </x:c>
      <x:c r="H39" s="2"/>
      <x:c r="I39" s="31" t="str">
        <x:v>FY2025 report p324 (PDF275)</x:v>
      </x:c>
      <x:c r="J39" s="31" t="str">
        <x:v>FY2026 report p410 (PDF347)</x:v>
      </x:c>
      <x:c r="K39" s="31" t="str">
        <x:v>FY2026 report p410 (PDF347)</x:v>
      </x:c>
      <x:c r="L39" s="2"/>
    </x:row>
    <x:row r="40" ht="34" customHeight="1">
      <x:c r="A40" s="2"/>
      <x:c r="B40" s="2"/>
      <x:c r="C40" s="2" t="str">
        <x:v>Receivables cash-flow adjustment</x:v>
      </x:c>
      <x:c r="D40" s="25"/>
      <x:c r="E40" s="25" t="n">
        <x:v>-60322</x:v>
      </x:c>
      <x:c r="F40" s="25" t="n">
        <x:v>-304948</x:v>
      </x:c>
      <x:c r="G40" s="25" t="n">
        <x:v>57587</x:v>
      </x:c>
      <x:c r="H40" s="2"/>
      <x:c r="I40" s="31" t="str">
        <x:v>FY2025 report p324 (PDF275)</x:v>
      </x:c>
      <x:c r="J40" s="31" t="str">
        <x:v>FY2026 report p410 (PDF347)</x:v>
      </x:c>
      <x:c r="K40" s="31" t="str">
        <x:v>FY2026 report p410 (PDF347)</x:v>
      </x:c>
      <x:c r="L40" s="2"/>
    </x:row>
    <x:row r="41" ht="34" customHeight="1">
      <x:c r="A41" s="2"/>
      <x:c r="B41" s="2"/>
      <x:c r="C41" s="2" t="str">
        <x:v>Current payables CF adjustment</x:v>
      </x:c>
      <x:c r="D41" s="25"/>
      <x:c r="E41" s="25" t="n">
        <x:v>162152</x:v>
      </x:c>
      <x:c r="F41" s="25" t="n">
        <x:v>541321</x:v>
      </x:c>
      <x:c r="G41" s="25" t="n">
        <x:v>-71732</x:v>
      </x:c>
      <x:c r="H41" s="2"/>
      <x:c r="I41" s="31" t="str">
        <x:v>FY2025 report p324 (PDF275)</x:v>
      </x:c>
      <x:c r="J41" s="31" t="str">
        <x:v>FY2026 report p410 (PDF347)</x:v>
      </x:c>
      <x:c r="K41" s="31" t="str">
        <x:v>FY2026 report p410 (PDF347)</x:v>
      </x:c>
      <x:c r="L41" s="2"/>
    </x:row>
    <x:row r="42" ht="34" customHeight="1">
      <x:c r="A42" s="2"/>
      <x:c r="B42" s="2"/>
      <x:c r="C42" s="2" t="str">
        <x:v>Non-current payables CF adjustment</x:v>
      </x:c>
      <x:c r="D42" s="25"/>
      <x:c r="E42" s="25" t="n">
        <x:v>546</x:v>
      </x:c>
      <x:c r="F42" s="25" t="n">
        <x:v>-546</x:v>
      </x:c>
      <x:c r="G42" s="25" t="n">
        <x:v>0</x:v>
      </x:c>
      <x:c r="H42" s="2"/>
      <x:c r="I42" s="31" t="str">
        <x:v>FY2025 report p324 (PDF275)</x:v>
      </x:c>
      <x:c r="J42" s="31" t="str">
        <x:v>FY2026 report p410 (PDF347)</x:v>
      </x:c>
      <x:c r="K42" s="31" t="str">
        <x:v>FY2026 report p410 (PDF347)</x:v>
      </x:c>
      <x:c r="L42" s="2"/>
    </x:row>
    <x:row r="43" ht="34" customHeight="1">
      <x:c r="A43" s="2"/>
      <x:c r="B43" s="2"/>
      <x:c r="C43" s="2" t="str">
        <x:v>Net investing cash flow</x:v>
      </x:c>
      <x:c r="D43" s="25"/>
      <x:c r="E43" s="25" t="n">
        <x:v>-53090</x:v>
      </x:c>
      <x:c r="F43" s="25" t="n">
        <x:v>-122890</x:v>
      </x:c>
      <x:c r="G43" s="25" t="n">
        <x:v>-125054</x:v>
      </x:c>
      <x:c r="H43" s="2"/>
      <x:c r="I43" s="31" t="str">
        <x:v>FY2025 report p325 (PDF276)</x:v>
      </x:c>
      <x:c r="J43" s="31" t="str">
        <x:v>FY2026 report p411 (PDF348)</x:v>
      </x:c>
      <x:c r="K43" s="31" t="str">
        <x:v>FY2026 report p411 (PDF348)</x:v>
      </x:c>
      <x:c r="L43" s="2"/>
    </x:row>
    <x:row r="44" ht="34" customHeight="1">
      <x:c r="A44" s="2"/>
      <x:c r="B44" s="2"/>
      <x:c r="C44" s="2" t="str">
        <x:v>Net financing cash flow</x:v>
      </x:c>
      <x:c r="D44" s="25"/>
      <x:c r="E44" s="25" t="n">
        <x:v>-6997</x:v>
      </x:c>
      <x:c r="F44" s="25" t="n">
        <x:v>-2657</x:v>
      </x:c>
      <x:c r="G44" s="25" t="n">
        <x:v>-10815</x:v>
      </x:c>
      <x:c r="H44" s="2"/>
      <x:c r="I44" s="31" t="str">
        <x:v>FY2025 report p325 (PDF276)</x:v>
      </x:c>
      <x:c r="J44" s="31" t="str">
        <x:v>FY2026 report p411 (PDF348)</x:v>
      </x:c>
      <x:c r="K44" s="31" t="str">
        <x:v>FY2026 report p411 (PDF348)</x:v>
      </x:c>
      <x:c r="L44" s="2"/>
    </x:row>
    <x:row r="45" ht="34" customHeight="1">
      <x:c r="A45" s="2"/>
      <x:c r="B45" s="2"/>
      <x:c r="C45" s="2" t="str">
        <x:v>Net change from CF activities</x:v>
      </x:c>
      <x:c r="D45" s="25"/>
      <x:c r="E45" s="25" t="n">
        <x:v>-1656</x:v>
      </x:c>
      <x:c r="F45" s="25" t="n">
        <x:v>-10572</x:v>
      </x:c>
      <x:c r="G45" s="25" t="n">
        <x:v>42360</x:v>
      </x:c>
      <x:c r="H45" s="2"/>
      <x:c r="I45" s="31" t="str">
        <x:v>FY2025 report p325 (PDF276)</x:v>
      </x:c>
      <x:c r="J45" s="31" t="str">
        <x:v>FY2026 report p411 (PDF348)</x:v>
      </x:c>
      <x:c r="K45" s="31" t="str">
        <x:v>FY2026 report p411 (PDF348)</x:v>
      </x:c>
      <x:c r="L45" s="2"/>
    </x:row>
    <x:row r="46" ht="34" customHeight="1">
      <x:c r="A46" s="2"/>
      <x:c r="B46" s="2"/>
      <x:c r="C46" s="2" t="str">
        <x:v>Cash at beginning of year</x:v>
      </x:c>
      <x:c r="D46" s="25"/>
      <x:c r="E46" s="25" t="n">
        <x:v>21704</x:v>
      </x:c>
      <x:c r="F46" s="25" t="n">
        <x:v>20048</x:v>
      </x:c>
      <x:c r="G46" s="25" t="n">
        <x:v>23085</x:v>
      </x:c>
      <x:c r="H46" s="2"/>
      <x:c r="I46" s="31" t="str">
        <x:v>FY2025 report p325 (PDF276)</x:v>
      </x:c>
      <x:c r="J46" s="31" t="str">
        <x:v>FY2026 report p411 (PDF348)</x:v>
      </x:c>
      <x:c r="K46" s="31" t="str">
        <x:v>FY2026 report p411 (PDF348)</x:v>
      </x:c>
      <x:c r="L46" s="2"/>
    </x:row>
    <x:row r="47" ht="34" customHeight="1">
      <x:c r="A47" s="2"/>
      <x:c r="B47" s="2"/>
      <x:c r="C47" s="2" t="str">
        <x:v>Cash from group structure changes</x:v>
      </x:c>
      <x:c r="D47" s="25"/>
      <x:c r="E47" s="25" t="n">
        <x:v>0</x:v>
      </x:c>
      <x:c r="F47" s="25" t="n">
        <x:v>13609</x:v>
      </x:c>
      <x:c r="G47" s="25" t="n">
        <x:v>11298</x:v>
      </x:c>
      <x:c r="H47" s="2"/>
      <x:c r="I47" s="31" t="str">
        <x:v>FY2025 report p325 (PDF276)</x:v>
      </x:c>
      <x:c r="J47" s="31" t="str">
        <x:v>FY2026 report p411 (PDF348)</x:v>
      </x:c>
      <x:c r="K47" s="31" t="str">
        <x:v>FY2026 report p411 (PDF348)</x:v>
      </x:c>
      <x:c r="L47" s="2"/>
    </x:row>
    <x:row r="48" ht="34" customHeight="1">
      <x:c r="A48" s="2"/>
      <x:c r="B48" s="2"/>
      <x:c r="C48" s="2" t="str">
        <x:v>Equity investment disposal/fair-value gain</x:v>
      </x:c>
      <x:c r="D48" s="25"/>
      <x:c r="E48" s="25" t="n">
        <x:v>0</x:v>
      </x:c>
      <x:c r="F48" s="25" t="n">
        <x:v>0</x:v>
      </x:c>
      <x:c r="G48" s="25" t="n">
        <x:v>67075</x:v>
      </x:c>
      <x:c r="H48" s="2"/>
      <x:c r="I48" s="31" t="str">
        <x:v>FY2025 report p367 (PDF318), note38</x:v>
      </x:c>
      <x:c r="J48" s="31" t="str">
        <x:v>FY2026 report p458 (PDF395), note37</x:v>
      </x:c>
      <x:c r="K48" s="31" t="str">
        <x:v>FY2026 report p458 (PDF395), note37</x:v>
      </x:c>
      <x:c r="L48" s="2"/>
    </x:row>
    <x:row r="49" ht="34" customHeight="1">
      <x:c r="A49" s="2"/>
      <x:c r="B49" s="2"/>
      <x:c r="C49" s="2" t="str">
        <x:v>Business undertaking sale gain</x:v>
      </x:c>
      <x:c r="D49" s="25"/>
      <x:c r="E49" s="25" t="n">
        <x:v>0</x:v>
      </x:c>
      <x:c r="F49" s="25" t="n">
        <x:v>0</x:v>
      </x:c>
      <x:c r="G49" s="25" t="n">
        <x:v>2188</x:v>
      </x:c>
      <x:c r="H49" s="2"/>
      <x:c r="I49" s="31" t="str">
        <x:v>FY2025 report p367 (PDF318), note38</x:v>
      </x:c>
      <x:c r="J49" s="31" t="str">
        <x:v>FY2026 report p458 (PDF395), note37</x:v>
      </x:c>
      <x:c r="K49" s="31" t="str">
        <x:v>FY2026 report p458 (PDF395), note37</x:v>
      </x:c>
      <x:c r="L49" s="2"/>
    </x:row>
    <x:row r="50" ht="23" customHeight="1">
      <x:c r="A50" s="2"/>
      <x:c r="B50" s="2"/>
      <x:c r="C50" s="2"/>
      <x:c r="D50" s="2"/>
      <x:c r="E50" s="5"/>
      <x:c r="F50" s="5"/>
      <x:c r="G50" s="5"/>
      <x:c r="H50" s="2"/>
      <x:c r="I50" s="2"/>
      <x:c r="J50" s="2"/>
      <x:c r="K50" s="2"/>
      <x:c r="L50" s="2"/>
    </x:row>
    <x:row r="51" ht="23" customHeight="1">
      <x:c r="A51" s="2"/>
      <x:c r="B51" s="2"/>
      <x:c r="C51" s="2"/>
      <x:c r="D51" s="2"/>
      <x:c r="E51" s="5"/>
      <x:c r="F51" s="5"/>
      <x:c r="G51" s="5"/>
      <x:c r="H51" s="2"/>
      <x:c r="I51" s="2"/>
      <x:c r="J51" s="2"/>
      <x:c r="K51" s="2"/>
      <x:c r="L51" s="2"/>
    </x:row>
    <x:row r="52" ht="26" customHeight="1">
      <x:c r="A52" s="2"/>
      <x:c r="B52" s="2"/>
      <x:c r="C52" s="9" t="str">
        <x:v>Official report links</x:v>
      </x:c>
      <x:c r="D52" s="9"/>
      <x:c r="E52" s="10"/>
      <x:c r="F52" s="10"/>
      <x:c r="G52" s="10"/>
      <x:c r="H52" s="9"/>
      <x:c r="I52" s="9"/>
      <x:c r="J52" s="9"/>
      <x:c r="K52" s="9"/>
      <x:c r="L52" s="2"/>
    </x:row>
    <x:row r="53" ht="23" customHeight="1">
      <x:c r="A53" s="2"/>
      <x:c r="B53" s="2"/>
      <x:c r="C53" s="2"/>
      <x:c r="D53" s="2"/>
      <x:c r="E53" s="5"/>
      <x:c r="F53" s="5"/>
      <x:c r="G53" s="5"/>
      <x:c r="H53" s="2"/>
      <x:c r="I53" s="2"/>
      <x:c r="J53" s="2"/>
      <x:c r="K53" s="2"/>
      <x:c r="L53" s="2"/>
    </x:row>
    <x:row r="54" ht="23" customHeight="1">
      <x:c r="A54" s="2"/>
      <x:c r="B54" s="2"/>
      <x:c r="C54" s="2" t="str">
        <x:v>FY2024 integrated annual report</x:v>
      </x:c>
      <x:c r="D54" s="2"/>
      <x:c r="E54" s="5"/>
      <x:c r="F54" s="5"/>
      <x:c r="G54" s="5"/>
      <x:c r="H54" s="2"/>
      <x:c r="I54" s="2"/>
      <x:c r="J54" s="2"/>
      <x:c r="K54" s="2"/>
      <x:c r="L54" s="2"/>
    </x:row>
    <x:row r="55" ht="38" customHeight="1">
      <x:c r="A55" s="2"/>
      <x:c r="B55" s="2"/>
      <x:c r="C55" s="28" t="str">
        <x:v>https://dixon-website.s3.ap-south-1.amazonaws.com/uploads/1745428945732_dixon-annual-report-2023-24.pdf</x:v>
      </x:c>
      <x:c r="D55" s="28"/>
      <x:c r="E55" s="29"/>
      <x:c r="F55" s="29"/>
      <x:c r="G55" s="29"/>
      <x:c r="H55" s="28"/>
      <x:c r="I55" s="28"/>
      <x:c r="J55" s="28"/>
      <x:c r="K55" s="28"/>
      <x:c r="L55" s="2"/>
    </x:row>
    <x:row r="56" ht="23" customHeight="1">
      <x:c r="A56" s="2"/>
      <x:c r="B56" s="2"/>
      <x:c r="C56" s="2"/>
      <x:c r="D56" s="2"/>
      <x:c r="E56" s="5"/>
      <x:c r="F56" s="5"/>
      <x:c r="G56" s="5"/>
      <x:c r="H56" s="2"/>
      <x:c r="I56" s="2"/>
      <x:c r="J56" s="2"/>
      <x:c r="K56" s="2"/>
      <x:c r="L56" s="2"/>
    </x:row>
    <x:row r="57" ht="23" customHeight="1">
      <x:c r="A57" s="2"/>
      <x:c r="B57" s="2"/>
      <x:c r="C57" s="2" t="str">
        <x:v>FY2025 integrated annual report</x:v>
      </x:c>
      <x:c r="D57" s="2"/>
      <x:c r="E57" s="5"/>
      <x:c r="F57" s="5"/>
      <x:c r="G57" s="5"/>
      <x:c r="H57" s="2"/>
      <x:c r="I57" s="2"/>
      <x:c r="J57" s="2"/>
      <x:c r="K57" s="2"/>
      <x:c r="L57" s="2"/>
    </x:row>
    <x:row r="58" ht="38" customHeight="1">
      <x:c r="A58" s="2"/>
      <x:c r="B58" s="2"/>
      <x:c r="C58" s="28" t="str">
        <x:v>https://dixon-website.s3.ap-south-1.amazonaws.com/uploads/efdb9811-daf3-459e-ab6b-60a94aebaa4f-AnnualReport-2024-25.pdf</x:v>
      </x:c>
      <x:c r="D58" s="28"/>
      <x:c r="E58" s="29"/>
      <x:c r="F58" s="29"/>
      <x:c r="G58" s="29"/>
      <x:c r="H58" s="28"/>
      <x:c r="I58" s="28"/>
      <x:c r="J58" s="28"/>
      <x:c r="K58" s="28"/>
      <x:c r="L58" s="2"/>
    </x:row>
    <x:row r="59" ht="23" customHeight="1">
      <x:c r="A59" s="2"/>
      <x:c r="B59" s="2"/>
      <x:c r="C59" s="2"/>
      <x:c r="D59" s="2"/>
      <x:c r="E59" s="5"/>
      <x:c r="F59" s="5"/>
      <x:c r="G59" s="5"/>
      <x:c r="H59" s="2"/>
      <x:c r="I59" s="2"/>
      <x:c r="J59" s="2"/>
      <x:c r="K59" s="2"/>
      <x:c r="L59" s="2"/>
    </x:row>
    <x:row r="60" ht="23" customHeight="1">
      <x:c r="A60" s="2"/>
      <x:c r="B60" s="2"/>
      <x:c r="C60" s="2" t="str">
        <x:v>FY2026 integrated annual report</x:v>
      </x:c>
      <x:c r="D60" s="2"/>
      <x:c r="E60" s="5"/>
      <x:c r="F60" s="5"/>
      <x:c r="G60" s="5"/>
      <x:c r="H60" s="2"/>
      <x:c r="I60" s="2"/>
      <x:c r="J60" s="2"/>
      <x:c r="K60" s="2"/>
      <x:c r="L60" s="2"/>
    </x:row>
    <x:row r="61" ht="38" customHeight="1">
      <x:c r="A61" s="2"/>
      <x:c r="B61" s="2"/>
      <x:c r="C61" s="28" t="str">
        <x:v>https://dixon-website.s3.ap-south-1.amazonaws.com/uploads/8afe81b1-4e6c-44c3-84c5-92304ed8c07d-AnnualReportFY2025-26.pdf</x:v>
      </x:c>
      <x:c r="D61" s="28"/>
      <x:c r="E61" s="29"/>
      <x:c r="F61" s="29"/>
      <x:c r="G61" s="29"/>
      <x:c r="H61" s="28"/>
      <x:c r="I61" s="28"/>
      <x:c r="J61" s="28"/>
      <x:c r="K61" s="28"/>
      <x:c r="L61" s="2"/>
    </x:row>
    <x:row r="62" ht="23" customHeight="1">
      <x:c r="A62" s="2"/>
      <x:c r="B62" s="2"/>
      <x:c r="C62" s="2"/>
      <x:c r="D62" s="2"/>
      <x:c r="E62" s="5"/>
      <x:c r="F62" s="5"/>
      <x:c r="G62" s="5"/>
      <x:c r="H62" s="2"/>
      <x:c r="I62" s="2"/>
      <x:c r="J62" s="2"/>
      <x:c r="K62" s="2"/>
      <x:c r="L62" s="2"/>
    </x:row>
    <x:row r="63" ht="23" customHeight="1">
      <x:c r="A63" s="2"/>
      <x:c r="B63" s="2"/>
      <x:c r="C63" s="2"/>
      <x:c r="D63" s="2"/>
      <x:c r="E63" s="5"/>
      <x:c r="F63" s="5"/>
      <x:c r="G63" s="5"/>
      <x:c r="H63" s="2"/>
      <x:c r="I63" s="2"/>
      <x:c r="J63" s="2"/>
      <x:c r="K63" s="2"/>
      <x:c r="L63" s="2"/>
    </x:row>
    <x:row r="64" ht="38" customHeight="1">
      <x:c r="A64" s="2"/>
      <x:c r="B64" s="2"/>
      <x:c r="C64" s="17" t="str">
        <x:v>FY2023 reference figures use FY2024 report comparatives: balance sheet p316 (PDF270), profit and loss p317 (PDF271). Missing reference inputs stay blank.</x:v>
      </x:c>
      <x:c r="D64" s="17"/>
      <x:c r="E64" s="18"/>
      <x:c r="F64" s="18"/>
      <x:c r="G64" s="18"/>
      <x:c r="H64" s="17"/>
      <x:c r="I64" s="17"/>
      <x:c r="J64" s="17"/>
      <x:c r="K64" s="17"/>
      <x:c r="L64" s="2"/>
    </x:row>
    <x:row r="65" ht="23" customHeight="1">
      <x:c r="A65" s="2"/>
      <x:c r="B65" s="2"/>
      <x:c r="C65" s="2"/>
      <x:c r="D65" s="2"/>
      <x:c r="E65" s="5"/>
      <x:c r="F65" s="5"/>
      <x:c r="G65" s="5"/>
      <x:c r="H65" s="2"/>
      <x:c r="I65" s="2"/>
      <x:c r="J65" s="2"/>
      <x:c r="K65" s="2"/>
      <x:c r="L65" s="2"/>
    </x:row>
    <x:row r="66" ht="38" customHeight="1">
      <x:c r="A66" s="2"/>
      <x:c r="B66" s="2"/>
      <x:c r="C66" s="17" t="str">
        <x:v>Zero investment-gain lines in FY2024/FY2025 indicate no such gain in the cited other-income disclosures. Group PAT includes non-controlling interests.</x:v>
      </x:c>
      <x:c r="D66" s="17"/>
      <x:c r="E66" s="18"/>
      <x:c r="F66" s="18"/>
      <x:c r="G66" s="18"/>
      <x:c r="H66" s="17"/>
      <x:c r="I66" s="17"/>
      <x:c r="J66" s="17"/>
      <x:c r="K66" s="17"/>
      <x:c r="L66" s="2"/>
    </x:row>
    <x:row r="67" ht="23" customHeight="1">
      <x:c r="A67" s="2"/>
      <x:c r="B67" s="2"/>
      <x:c r="C67" s="2"/>
      <x:c r="D67" s="2"/>
      <x:c r="E67" s="5"/>
      <x:c r="F67" s="5"/>
      <x:c r="G67" s="5"/>
      <x:c r="H67" s="2"/>
      <x:c r="I67" s="2"/>
      <x:c r="J67" s="2"/>
      <x:c r="K67" s="2"/>
      <x:c r="L67" s="2"/>
    </x:row>
    <x:row r="68" ht="23" customHeight="1">
      <x:c r="A68" s="2"/>
      <x:c r="B68" s="2"/>
      <x:c r="C68" s="2"/>
      <x:c r="D68" s="2"/>
      <x:c r="E68" s="5"/>
      <x:c r="F68" s="5"/>
      <x:c r="G68" s="5"/>
      <x:c r="H68" s="2"/>
      <x:c r="I68" s="2"/>
      <x:c r="J68" s="2"/>
      <x:c r="K68" s="2"/>
      <x:c r="L68" s="2"/>
    </x:row>
    <x:row r="69" ht="23" customHeight="1">
      <x:c r="A69" s="2"/>
      <x:c r="B69" s="2"/>
      <x:c r="C69" s="2"/>
      <x:c r="D69" s="2"/>
      <x:c r="E69" s="5"/>
      <x:c r="F69" s="5"/>
      <x:c r="G69" s="5"/>
      <x:c r="H69" s="2"/>
      <x:c r="I69" s="2"/>
      <x:c r="J69" s="2"/>
      <x:c r="K69" s="2"/>
      <x:c r="L69" s="2"/>
    </x:row>
    <x:row r="70" ht="23" customHeight="1">
      <x:c r="A70" s="2"/>
      <x:c r="B70" s="2"/>
      <x:c r="C70" s="2"/>
      <x:c r="D70" s="2"/>
      <x:c r="E70" s="5"/>
      <x:c r="F70" s="5"/>
      <x:c r="G70" s="5"/>
      <x:c r="H70" s="2"/>
      <x:c r="I70" s="2"/>
      <x:c r="J70" s="2"/>
      <x:c r="K70" s="2"/>
      <x:c r="L70" s="2"/>
    </x:row>
  </x:sheetData>
  <x:mergeCells>
    <x:mergeCell ref="C2:K2"/>
    <x:mergeCell ref="C4:K4"/>
    <x:mergeCell ref="C55:K55"/>
    <x:mergeCell ref="C58:K58"/>
    <x:mergeCell ref="C61:K61"/>
    <x:mergeCell ref="C64:K64"/>
    <x:mergeCell ref="C66:K66"/>
  </x:mergeCells>
  <x:pageMargins left="0.7" right="0.7" top="0.75" bottom="0.75" header="0.3" footer="0.3"/>
</x:worksheet>
</file>